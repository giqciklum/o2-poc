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8e2d26d22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ef228a7d6147e5"/>
    <x:sheet xmlns:r="http://schemas.openxmlformats.org/officeDocument/2006/relationships" name="socios" sheetId="2" r:id="R8f86702e651449b0"/>
    <x:sheet xmlns:r="http://schemas.openxmlformats.org/officeDocument/2006/relationships" name="voz_cliente" sheetId="3" r:id="Raa70245c60c14b26"/>
    <x:sheet xmlns:r="http://schemas.openxmlformats.org/officeDocument/2006/relationships" name="entrevistas_comerciales" sheetId="4" r:id="Re1641d7251dc4a54"/>
    <x:sheet xmlns:r="http://schemas.openxmlformats.org/officeDocument/2006/relationships" name="aforos" sheetId="5" r:id="R8ab658502b0343ca"/>
    <x:sheet xmlns:r="http://schemas.openxmlformats.org/officeDocument/2006/relationships" name="mantenimiento" sheetId="6" r:id="R69f331326e1543af"/>
    <x:sheet xmlns:r="http://schemas.openxmlformats.org/officeDocument/2006/relationships" name="tareas" sheetId="7" r:id="Rfc0604cca1224da8"/>
    <x:sheet xmlns:r="http://schemas.openxmlformats.org/officeDocument/2006/relationships" name="agenda_impacto" sheetId="8" r:id="R666e8157078b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7101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9DE0"/>
      </x:patternFill>
    </x:fill>
    <x:fill>
      <x:patternFill patternType="solid">
        <x:fgColor rgb="FF071016"/>
      </x:patternFill>
    </x:fill>
    <x:fill>
      <x:patternFill patternType="solid">
        <x:fgColor rgb="FF006F9F"/>
      </x:patternFill>
    </x:fill>
    <x:fill>
      <x:patternFill patternType="solid">
        <x:fgColor rgb="FFD6A94A"/>
      </x:patternFill>
    </x:fill>
    <x:fill>
      <x:patternFill patternType="solid">
        <x:fgColor rgb="FFEEF5F9"/>
      </x:patternFill>
    </x:fill>
    <x:fill>
      <x:patternFill patternType="solid">
        <x:fgColor rgb="FFF8FBFD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981e429304642" /><Relationship Type="http://schemas.openxmlformats.org/officeDocument/2006/relationships/theme" Target="/xl/theme/theme1.xml" Id="R5bad48df60064048" /><Relationship Type="http://schemas.openxmlformats.org/officeDocument/2006/relationships/sharedStrings" Target="/xl/sharedStrings.xml" Id="R3941224bed72435b" /><Relationship Type="http://schemas.openxmlformats.org/officeDocument/2006/relationships/worksheet" Target="/xl/worksheets/sheet1.xml" Id="Radef228a7d6147e5" /><Relationship Type="http://schemas.openxmlformats.org/officeDocument/2006/relationships/worksheet" Target="/xl/worksheets/sheet2.xml" Id="R8f86702e651449b0" /><Relationship Type="http://schemas.openxmlformats.org/officeDocument/2006/relationships/worksheet" Target="/xl/worksheets/sheet3.xml" Id="Raa70245c60c14b26" /><Relationship Type="http://schemas.openxmlformats.org/officeDocument/2006/relationships/worksheet" Target="/xl/worksheets/sheet4.xml" Id="Re1641d7251dc4a54" /><Relationship Type="http://schemas.openxmlformats.org/officeDocument/2006/relationships/worksheet" Target="/xl/worksheets/sheet5.xml" Id="R8ab658502b0343ca" /><Relationship Type="http://schemas.openxmlformats.org/officeDocument/2006/relationships/worksheet" Target="/xl/worksheets/sheet6.xml" Id="R69f331326e1543af" /><Relationship Type="http://schemas.openxmlformats.org/officeDocument/2006/relationships/worksheet" Target="/xl/worksheets/sheet7.xml" Id="Rfc0604cca1224da8" /><Relationship Type="http://schemas.openxmlformats.org/officeDocument/2006/relationships/worksheet" Target="/xl/worksheets/sheet8.xml" Id="R666e8157078b4b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04dccb04494e90" /><Relationship Type="http://schemas.openxmlformats.org/officeDocument/2006/relationships/chart" Target="/xl/drawings/charts/chart2.xml" Id="Rc3eed28ff2f74c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Radar de retencion: frecuencia vs churn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Visitas Clara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'Dashboard'!$K$5:$K$10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Churn score</c:v>
          </c:tx>
          <c:cat>
            <c:strRef>
              <c:f>'Dashboard'!$J$5:$J$10</c:f>
              <c:strCache>
                <c:ptCount val="0"/>
              </c:strCache>
            </c:strRef>
          </c:cat>
          <c:val>
            <c:numRef>
              <c:f>'Dashboard'!$L$5:$L$10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Voz del cliente por tema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Casos</c:v>
          </c:tx>
          <c:cat>
            <c:strRef>
              <c:f>'Dashboard'!$N$5:$N$9</c:f>
              <c:strCache>
                <c:ptCount val="0"/>
              </c:strCache>
            </c:strRef>
          </c:cat>
          <c:val>
            <c:numRef>
              <c:f>'Dashboard'!$O$5:$O$9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04dccb04494e90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eed28ff2f74c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ciosTable" displayName="sociosTable" ref="A1:L6" headerRowCount="1">
  <x:autoFilter ref="A1:L6"/>
  <x:tableColumns count="12">
    <x:tableColumn id="1" name="id_socio"/>
    <x:tableColumn id="2" name="nombre"/>
    <x:tableColumn id="3" name="club"/>
    <x:tableColumn id="4" name="plan"/>
    <x:tableColumn id="5" name="fecha_alta"/>
    <x:tableColumn id="6" name="estado"/>
    <x:tableColumn id="7" name="frecuencia_30d"/>
    <x:tableColumn id="8" name="frecuencia_prev_30d"/>
    <x:tableColumn id="9" name="churn_score"/>
    <x:tableColumn id="10" name="ltv_estimado"/>
    <x:tableColumn id="11" name="programa"/>
    <x:tableColumn id="12" name="accion_recomendada"/>
  </x:tableColumns>
  <x:tableStyleInfo name="TableStyleMedium2" showRowStripes="1"/>
</x:table>
</file>

<file path=xl/tables/table2.xml><?xml version="1.0" encoding="utf-8"?>
<x:table xmlns:x="http://schemas.openxmlformats.org/spreadsheetml/2006/main" id="2" name="vozclienteTable" displayName="vozclienteTable" ref="A1:K4" headerRowCount="1">
  <x:autoFilter ref="A1:K4"/>
  <x:tableColumns count="11">
    <x:tableColumn id="1" name="id_feedback"/>
    <x:tableColumn id="2" name="fecha"/>
    <x:tableColumn id="3" name="canal"/>
    <x:tableColumn id="4" name="club"/>
    <x:tableColumn id="5" name="rating"/>
    <x:tableColumn id="6" name="sentimiento"/>
    <x:tableColumn id="7" name="tema"/>
    <x:tableColumn id="8" name="prioridad"/>
    <x:tableColumn id="9" name="estado"/>
    <x:tableColumn id="10" name="texto"/>
    <x:tableColumn id="11" name="accion"/>
  </x:tableColumns>
  <x:tableStyleInfo name="TableStyleMedium2" showRowStripes="1"/>
</x:table>
</file>

<file path=xl/tables/table3.xml><?xml version="1.0" encoding="utf-8"?>
<x:table xmlns:x="http://schemas.openxmlformats.org/spreadsheetml/2006/main" id="3" name="entrevistascomercialesTable" displayName="entrevistascomercialesTable" ref="A1:J4" headerRowCount="1">
  <x:autoFilter ref="A1:J4"/>
  <x:tableColumns count="10">
    <x:tableColumn id="1" name="id_entrevista"/>
    <x:tableColumn id="2" name="fecha"/>
    <x:tableColumn id="3" name="lead"/>
    <x:tableColumn id="4" name="club"/>
    <x:tableColumn id="5" name="canal"/>
    <x:tableColumn id="6" name="motivacion"/>
    <x:tableColumn id="7" name="objeciones"/>
    <x:tableColumn id="8" name="intencion_compra"/>
    <x:tableColumn id="9" name="estado"/>
    <x:tableColumn id="10" name="siguiente_accion"/>
  </x:tableColumns>
  <x:tableStyleInfo name="TableStyleMedium2" showRowStripes="1"/>
</x:table>
</file>

<file path=xl/tables/table4.xml><?xml version="1.0" encoding="utf-8"?>
<x:table xmlns:x="http://schemas.openxmlformats.org/spreadsheetml/2006/main" id="4" name="aforosTable" displayName="aforosTable" ref="A1:I5" headerRowCount="1">
  <x:autoFilter ref="A1:I5"/>
  <x:tableColumns count="9">
    <x:tableColumn id="1" name="id_aforo"/>
    <x:tableColumn id="2" name="fecha_hora"/>
    <x:tableColumn id="3" name="club"/>
    <x:tableColumn id="4" name="zona"/>
    <x:tableColumn id="5" name="tipo_zona"/>
    <x:tableColumn id="6" name="ocupacion_pct"/>
    <x:tableColumn id="7" name="umbral_pct"/>
    <x:tableColumn id="8" name="estado"/>
    <x:tableColumn id="9" name="accion_recomendada"/>
  </x:tableColumns>
  <x:tableStyleInfo name="TableStyleMedium2" showRowStripes="1"/>
</x:table>
</file>

<file path=xl/tables/table5.xml><?xml version="1.0" encoding="utf-8"?>
<x:table xmlns:x="http://schemas.openxmlformats.org/spreadsheetml/2006/main" id="5" name="mantenimientoTable" displayName="mantenimientoTable" ref="A1:I5" headerRowCount="1">
  <x:autoFilter ref="A1:I5"/>
  <x:tableColumns count="9">
    <x:tableColumn id="1" name="id_activo"/>
    <x:tableColumn id="2" name="club"/>
    <x:tableColumn id="3" name="instalacion"/>
    <x:tableColumn id="4" name="horas_uso"/>
    <x:tableColumn id="5" name="umbral_aviso"/>
    <x:tableColumn id="6" name="riesgo_averia"/>
    <x:tableColumn id="7" name="estado"/>
    <x:tableColumn id="8" name="accion"/>
    <x:tableColumn id="9" name="fecha_revision"/>
  </x:tableColumns>
  <x:tableStyleInfo name="TableStyleMedium2" showRowStripes="1"/>
</x:table>
</file>

<file path=xl/tables/table6.xml><?xml version="1.0" encoding="utf-8"?>
<x:table xmlns:x="http://schemas.openxmlformats.org/spreadsheetml/2006/main" id="6" name="tareasTable" displayName="tareasTable" ref="A1:H4" headerRowCount="1">
  <x:autoFilter ref="A1:H4"/>
  <x:tableColumns count="8">
    <x:tableColumn id="1" name="id_tarea"/>
    <x:tableColumn id="2" name="categoria"/>
    <x:tableColumn id="3" name="club"/>
    <x:tableColumn id="4" name="responsable"/>
    <x:tableColumn id="5" name="prioridad"/>
    <x:tableColumn id="6" name="estado"/>
    <x:tableColumn id="7" name="descripcion"/>
    <x:tableColumn id="8" name="fecha_creacion"/>
  </x:tableColumns>
  <x:tableStyleInfo name="TableStyleMedium2" showRowStripes="1"/>
</x:table>
</file>

<file path=xl/tables/table7.xml><?xml version="1.0" encoding="utf-8"?>
<x:table xmlns:x="http://schemas.openxmlformats.org/spreadsheetml/2006/main" id="7" name="agendaimpactoTable" displayName="agendaimpactoTable" ref="A1:J5" headerRowCount="1">
  <x:autoFilter ref="A1:J5"/>
  <x:tableColumns count="10">
    <x:tableColumn id="1" name="fecha"/>
    <x:tableColumn id="2" name="tipo"/>
    <x:tableColumn id="3" name="categoria"/>
    <x:tableColumn id="4" name="club"/>
    <x:tableColumn id="5" name="entidad"/>
    <x:tableColumn id="6" name="importe_estimado"/>
    <x:tableColumn id="7" name="estado"/>
    <x:tableColumn id="8" name="origen"/>
    <x:tableColumn id="9" name="trigger_relacionado"/>
    <x:tableColumn id="10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68df85e2d346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83301a0f7448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d3d84c577f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2ae02321c4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d4204671df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ecb07b239e46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e2ddbd28c6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97aa44a83d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28.889999389648438" hidden="0" customWidth="1"/>
    <x:col min="4" max="4" width="16.670000076293945" hidden="0" customWidth="1"/>
    <x:col min="6" max="6" width="16.670000076293945" hidden="0" customWidth="1"/>
    <x:col min="7" max="7" width="16.670000076293945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4" max="14" width="13.329999923706055" hidden="0" customWidth="1"/>
    <x:col min="15" max="15" width="13.329999923706055" hidden="0" customWidth="1"/>
  </x:cols>
  <x:sheetData>
    <x:row r="1" ht="30" customHeight="1">
      <x:c r="A1" s="15" t="str">
        <x:v>O2 Centro Wellness Intelligence Hub</x:v>
      </x:c>
    </x:row>
    <x:row r="3">
      <x:c r="A3" s="18" t="str">
        <x:v>Dashboard ejecutivo para retencion, voz del cliente, comercial, aforos y mantenimiento predictivo.</x:v>
      </x:c>
    </x:row>
    <x:row r="4">
      <x:c r="J4" s="10" t="str">
        <x:v>Mes</x:v>
      </x:c>
      <x:c r="K4" s="10" t="str">
        <x:v>Visitas Clara</x:v>
      </x:c>
      <x:c r="L4" s="10" t="str">
        <x:v>Churn score</x:v>
      </x:c>
      <x:c r="M4" s="20"/>
      <x:c r="N4" s="10" t="str">
        <x:v>Tema</x:v>
      </x:c>
      <x:c r="O4" s="10" t="str">
        <x:v>Casos</x:v>
      </x:c>
    </x:row>
    <x:row r="5">
      <x:c r="A5" s="2" t="str">
        <x:v>KPI</x:v>
      </x:c>
      <x:c r="B5" s="2" t="str">
        <x:v>Valor</x:v>
      </x:c>
      <x:c r="C5" s="2" t="str">
        <x:v>Lectura</x:v>
      </x:c>
      <x:c r="D5" s="2" t="str">
        <x:v>Fuente</x:v>
      </x:c>
      <x:c r="F5" s="7" t="str">
        <x:v>Escena</x:v>
      </x:c>
      <x:c r="G5" s="7" t="str">
        <x:v>Estado</x:v>
      </x:c>
      <x:c r="J5" s="20" t="str">
        <x:v>Ene</x:v>
      </x:c>
      <x:c r="K5" s="20" t="n">
        <x:v>11</x:v>
      </x:c>
      <x:c r="L5" s="20" t="n">
        <x:v>18</x:v>
      </x:c>
      <x:c r="M5" s="20"/>
      <x:c r="N5" s="20" t="str">
        <x:v>Spa</x:v>
      </x:c>
      <x:c r="O5" s="20" t="n">
        <x:v>34</x:v>
      </x:c>
    </x:row>
    <x:row r="6">
      <x:c r="A6" s="4" t="str">
        <x:v>Socios muestra</x:v>
      </x:c>
      <x:c r="B6" s="4" t="n">
        <x:f>COUNTA(socios!A2:A500)</x:f>
        <x:v>5</x:v>
      </x:c>
      <x:c r="C6" s="4" t="str">
        <x:v>Socios operativos en workbook demo</x:v>
      </x:c>
      <x:c r="D6" s="4" t="str">
        <x:v>socios</x:v>
      </x:c>
      <x:c r="F6" s="4" t="str">
        <x:v>Socio en riesgo</x:v>
      </x:c>
      <x:c r="G6" s="4" t="str">
        <x:v>Demo-ready</x:v>
      </x:c>
      <x:c r="J6" s="20" t="str">
        <x:v>Feb</x:v>
      </x:c>
      <x:c r="K6" s="20" t="n">
        <x:v>10</x:v>
      </x:c>
      <x:c r="L6" s="20" t="n">
        <x:v>22</x:v>
      </x:c>
      <x:c r="M6" s="20"/>
      <x:c r="N6" s="20" t="str">
        <x:v>Vestuarios</x:v>
      </x:c>
      <x:c r="O6" s="20" t="n">
        <x:v>28</x:v>
      </x:c>
    </x:row>
    <x:row r="7">
      <x:c r="A7" s="4" t="str">
        <x:v>Churn medio</x:v>
      </x:c>
      <x:c r="B7" s="4" t="n">
        <x:f>ROUND(AVERAGE(socios!I2:I500),0)</x:f>
        <x:v>47</x:v>
      </x:c>
      <x:c r="C7" s="4" t="str">
        <x:v>Score medio de riesgo</x:v>
      </x:c>
      <x:c r="D7" s="4" t="str">
        <x:v>socios</x:v>
      </x:c>
      <x:c r="F7" s="4" t="str">
        <x:v>Resena negativa</x:v>
      </x:c>
      <x:c r="G7" s="4" t="str">
        <x:v>Demo-ready</x:v>
      </x:c>
      <x:c r="J7" s="20" t="str">
        <x:v>Mar</x:v>
      </x:c>
      <x:c r="K7" s="20" t="n">
        <x:v>9</x:v>
      </x:c>
      <x:c r="L7" s="20" t="n">
        <x:v>29</x:v>
      </x:c>
      <x:c r="M7" s="20"/>
      <x:c r="N7" s="20" t="str">
        <x:v>Padel</x:v>
      </x:c>
      <x:c r="O7" s="20" t="n">
        <x:v>19</x:v>
      </x:c>
    </x:row>
    <x:row r="8">
      <x:c r="A8" s="4" t="str">
        <x:v>Feedback critico</x:v>
      </x:c>
      <x:c r="B8" s="4" t="n">
        <x:f>COUNTIF(voz_cliente!F2:F500,"&lt;0")</x:f>
        <x:v>1</x:v>
      </x:c>
      <x:c r="C8" s="4" t="str">
        <x:v>Casos con sentimiento negativo</x:v>
      </x:c>
      <x:c r="D8" s="4" t="str">
        <x:v>voz_cliente</x:v>
      </x:c>
      <x:c r="F8" s="4" t="str">
        <x:v>Entrevista comercial</x:v>
      </x:c>
      <x:c r="G8" s="4" t="str">
        <x:v>Demo-ready</x:v>
      </x:c>
      <x:c r="J8" s="20" t="str">
        <x:v>Abr</x:v>
      </x:c>
      <x:c r="K8" s="20" t="n">
        <x:v>6</x:v>
      </x:c>
      <x:c r="L8" s="20" t="n">
        <x:v>42</x:v>
      </x:c>
      <x:c r="M8" s="20"/>
      <x:c r="N8" s="20" t="str">
        <x:v>Clases</x:v>
      </x:c>
      <x:c r="O8" s="20" t="n">
        <x:v>11</x:v>
      </x:c>
    </x:row>
    <x:row r="9">
      <x:c r="A9" s="4" t="str">
        <x:v>Pipeline probable</x:v>
      </x:c>
      <x:c r="B9" s="19" t="n">
        <x:f>SUMIF(entrevistas_comerciales!H2:H500,"&gt;=80",agenda_impacto!F2:F500)</x:f>
        <x:v>4140</x:v>
      </x:c>
      <x:c r="C9" s="4" t="str">
        <x:v>Suma de oportunidades comerciales</x:v>
      </x:c>
      <x:c r="D9" s="4" t="str">
        <x:v>entrevistas</x:v>
      </x:c>
      <x:c r="F9" s="4" t="str">
        <x:v>Averia anticipada</x:v>
      </x:c>
      <x:c r="G9" s="4" t="str">
        <x:v>Demo-ready</x:v>
      </x:c>
      <x:c r="J9" s="20" t="str">
        <x:v>May</x:v>
      </x:c>
      <x:c r="K9" s="20" t="n">
        <x:v>4</x:v>
      </x:c>
      <x:c r="L9" s="20" t="n">
        <x:v>63</x:v>
      </x:c>
      <x:c r="M9" s="20"/>
      <x:c r="N9" s="20" t="str">
        <x:v>Recepcion</x:v>
      </x:c>
      <x:c r="O9" s="20" t="n">
        <x:v>8</x:v>
      </x:c>
    </x:row>
    <x:row r="10">
      <x:c r="A10" s="4" t="str">
        <x:v>Aforos saturados</x:v>
      </x:c>
      <x:c r="B10" s="4" t="n">
        <x:f>COUNTIF(aforos!H2:H500,"Saturado")</x:f>
        <x:v>1</x:v>
      </x:c>
      <x:c r="C10" s="4" t="str">
        <x:v>Zonas por encima de umbral</x:v>
      </x:c>
      <x:c r="D10" s="4" t="str">
        <x:v>aforos</x:v>
      </x:c>
      <x:c r="F10" s="4" t="str">
        <x:v>Aforo saturado</x:v>
      </x:c>
      <x:c r="G10" s="4" t="str">
        <x:v>Demo-ready</x:v>
      </x:c>
      <x:c r="J10" s="20" t="str">
        <x:v>Jun</x:v>
      </x:c>
      <x:c r="K10" s="20" t="n">
        <x:v>3</x:v>
      </x:c>
      <x:c r="L10" s="20" t="n">
        <x:v>79</x:v>
      </x:c>
      <x:c r="M10" s="20"/>
      <x:c r="N10" s="20"/>
      <x:c r="O10" s="20"/>
    </x:row>
    <x:row r="11">
      <x:c r="A11" s="4" t="str">
        <x:v>Riesgo mantenimiento</x:v>
      </x:c>
      <x:c r="B11" s="4" t="n">
        <x:f>COUNTIF(mantenimiento!F2:F500,"&gt;=70")</x:f>
        <x:v>2</x:v>
      </x:c>
      <x:c r="C11" s="4" t="str">
        <x:v>Activos con riesgo &gt;=70</x:v>
      </x:c>
      <x:c r="D11" s="4" t="str">
        <x:v>mantenimiento</x:v>
      </x:c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b668df85e2d346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0.110000610351562" hidden="0" customWidth="1"/>
    <x:col min="4" max="4" width="13.109999656677246" hidden="0" customWidth="1"/>
    <x:col min="5" max="5" width="9" hidden="0" customWidth="1"/>
    <x:col min="6" max="6" width="10.5600004196167" hidden="0" customWidth="1"/>
    <x:col min="7" max="7" width="12.329999923706055" hidden="0" customWidth="1"/>
    <x:col min="8" max="8" width="16.440000534057617" hidden="0" customWidth="1"/>
    <x:col min="9" max="9" width="10.109999656677246" hidden="0" customWidth="1"/>
    <x:col min="10" max="10" width="10.329999923706055" hidden="0" customWidth="1"/>
    <x:col min="11" max="11" width="12.779999732971191" hidden="0" customWidth="1"/>
    <x:col min="12" max="12" width="31.110000610351562" hidden="0" customWidth="1"/>
  </x:cols>
  <x:sheetData>
    <x:row r="1">
      <x:c r="A1" s="3" t="str">
        <x:v>id_socio</x:v>
      </x:c>
      <x:c r="B1" s="3" t="str">
        <x:v>nombre</x:v>
      </x:c>
      <x:c r="C1" s="3" t="str">
        <x:v>club</x:v>
      </x:c>
      <x:c r="D1" s="3" t="str">
        <x:v>plan</x:v>
      </x:c>
      <x:c r="E1" s="3" t="str">
        <x:v>fecha_alta</x:v>
      </x:c>
      <x:c r="F1" s="3" t="str">
        <x:v>estado</x:v>
      </x:c>
      <x:c r="G1" s="3" t="str">
        <x:v>frecuencia_30d</x:v>
      </x:c>
      <x:c r="H1" s="3" t="str">
        <x:v>frecuencia_prev_30d</x:v>
      </x:c>
      <x:c r="I1" s="3" t="str">
        <x:v>churn_score</x:v>
      </x:c>
      <x:c r="J1" s="3" t="str">
        <x:v>ltv_estimado</x:v>
      </x:c>
      <x:c r="K1" s="3" t="str">
        <x:v>programa</x:v>
      </x:c>
      <x:c r="L1" s="3" t="str">
        <x:v>accion_recomendada</x:v>
      </x:c>
    </x:row>
    <x:row r="2">
      <x:c r="A2" s="5" t="str">
        <x:v>S-1748</x:v>
      </x:c>
      <x:c r="B2" s="5" t="str">
        <x:v>Clara Valera</x:v>
      </x:c>
      <x:c r="C2" s="5" t="str">
        <x:v>O2CW Manuel Becerra</x:v>
      </x:c>
      <x:c r="D2" s="5" t="str">
        <x:v>Well Living Plus</x:v>
      </x:c>
      <x:c r="E2" s="5" t="str">
        <x:v>2025-09-17</x:v>
      </x:c>
      <x:c r="F2" s="5" t="str">
        <x:v>Riesgo alto</x:v>
      </x:c>
      <x:c r="G2" s="5" t="n">
        <x:v>3</x:v>
      </x:c>
      <x:c r="H2" s="5" t="n">
        <x:v>11</x:v>
      </x:c>
      <x:c r="I2" s="5" t="n">
        <x:v>79</x:v>
      </x:c>
      <x:c r="J2" s="5" t="n">
        <x:v>3240</x:v>
      </x:c>
      <x:c r="K2" s="5" t="str">
        <x:v>Spa + fuerza</x:v>
      </x:c>
      <x:c r="L2" s="5" t="str">
        <x:v>Llamada + invitacion spa en franja valle</x:v>
      </x:c>
    </x:row>
    <x:row r="3">
      <x:c r="A3" s="5" t="str">
        <x:v>S-0832</x:v>
      </x:c>
      <x:c r="B3" s="5" t="str">
        <x:v>Javier Anton</x:v>
      </x:c>
      <x:c r="C3" s="5" t="str">
        <x:v>O2CW Granada</x:v>
      </x:c>
      <x:c r="D3" s="5" t="str">
        <x:v>Family Wellness</x:v>
      </x:c>
      <x:c r="E3" s="5" t="str">
        <x:v>2025-03-02</x:v>
      </x:c>
      <x:c r="F3" s="5" t="str">
        <x:v>Riesgo medio</x:v>
      </x:c>
      <x:c r="G3" s="5" t="n">
        <x:v>5</x:v>
      </x:c>
      <x:c r="H3" s="5" t="n">
        <x:v>8</x:v>
      </x:c>
      <x:c r="I3" s="5" t="n">
        <x:v>62</x:v>
      </x:c>
      <x:c r="J3" s="5" t="n">
        <x:v>2860</x:v>
      </x:c>
      <x:c r="K3" s="5" t="str">
        <x:v>Padel + nutricion</x:v>
      </x:c>
      <x:c r="L3" s="5" t="str">
        <x:v>Oferta pack padel + seguimiento nutricion</x:v>
      </x:c>
    </x:row>
    <x:row r="4">
      <x:c r="A4" s="5" t="str">
        <x:v>S-2214</x:v>
      </x:c>
      <x:c r="B4" s="5" t="str">
        <x:v>Marta Roca</x:v>
      </x:c>
      <x:c r="C4" s="5" t="str">
        <x:v>O2CW Boutique Barcelona</x:v>
      </x:c>
      <x:c r="D4" s="5" t="str">
        <x:v>Boutique Women</x:v>
      </x:c>
      <x:c r="E4" s="5" t="str">
        <x:v>2026-01-14</x:v>
      </x:c>
      <x:c r="F4" s="5" t="str">
        <x:v>Activo</x:v>
      </x:c>
      <x:c r="G4" s="5" t="n">
        <x:v>13</x:v>
      </x:c>
      <x:c r="H4" s="5" t="n">
        <x:v>12</x:v>
      </x:c>
      <x:c r="I4" s="5" t="n">
        <x:v>31</x:v>
      </x:c>
      <x:c r="J4" s="5" t="n">
        <x:v>1980</x:v>
      </x:c>
      <x:c r="K4" s="5" t="str">
        <x:v>Body&amp;Soul</x:v>
      </x:c>
      <x:c r="L4" s="5" t="str">
        <x:v>Mantener recomendacion Zone Her</x:v>
      </x:c>
    </x:row>
    <x:row r="5">
      <x:c r="A5" s="5" t="str">
        <x:v>S-1905</x:v>
      </x:c>
      <x:c r="B5" s="5" t="str">
        <x:v>David Llorente</x:v>
      </x:c>
      <x:c r="C5" s="5" t="str">
        <x:v>O2CW Malaga</x:v>
      </x:c>
      <x:c r="D5" s="5" t="str">
        <x:v>Well Living</x:v>
      </x:c>
      <x:c r="E5" s="5" t="str">
        <x:v>2024-11-22</x:v>
      </x:c>
      <x:c r="F5" s="5" t="str">
        <x:v>Activo</x:v>
      </x:c>
      <x:c r="G5" s="5" t="n">
        <x:v>9</x:v>
      </x:c>
      <x:c r="H5" s="5" t="n">
        <x:v>8</x:v>
      </x:c>
      <x:c r="I5" s="5" t="n">
        <x:v>28</x:v>
      </x:c>
      <x:c r="J5" s="5" t="n">
        <x:v>2140</x:v>
      </x:c>
      <x:c r="K5" s="5" t="str">
        <x:v>Piscina</x:v>
      </x:c>
      <x:c r="L5" s="5" t="str">
        <x:v>Rutina piscina + fuerza</x:v>
      </x:c>
    </x:row>
    <x:row r="6">
      <x:c r="A6" s="5" t="str">
        <x:v>S-1511</x:v>
      </x:c>
      <x:c r="B6" s="5" t="str">
        <x:v>Paula Gomez</x:v>
      </x:c>
      <x:c r="C6" s="5" t="str">
        <x:v>O2CW Huelva</x:v>
      </x:c>
      <x:c r="D6" s="5" t="str">
        <x:v>Well Living</x:v>
      </x:c>
      <x:c r="E6" s="5" t="str">
        <x:v>2025-07-04</x:v>
      </x:c>
      <x:c r="F6" s="5" t="str">
        <x:v>Activo</x:v>
      </x:c>
      <x:c r="G6" s="5" t="n">
        <x:v>7</x:v>
      </x:c>
      <x:c r="H6" s="5" t="n">
        <x:v>6</x:v>
      </x:c>
      <x:c r="I6" s="5" t="n">
        <x:v>35</x:v>
      </x:c>
      <x:c r="J6" s="5" t="n">
        <x:v>1760</x:v>
      </x:c>
      <x:c r="K6" s="5" t="str">
        <x:v>Fisio</x:v>
      </x:c>
      <x:c r="L6" s="5" t="str">
        <x:v>Check preventivo fisio</x:v>
      </x:c>
    </x:row>
  </x:sheetData>
  <x:pageMargins left="0.7" right="0.7" top="0.75" bottom="0.75" header="0.3" footer="0.3"/>
  <x:tableParts count="1">
    <x:tablePart xmlns:r="http://schemas.openxmlformats.org/officeDocument/2006/relationships" r:id="Rb483301a0f7448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13.109999656677246" hidden="0" customWidth="1"/>
    <x:col min="4" max="4" width="18" hidden="0" customWidth="1"/>
    <x:col min="5" max="5" width="8.670000076293945" hidden="0" customWidth="1"/>
    <x:col min="6" max="6" width="9.670000076293945" hidden="0" customWidth="1"/>
    <x:col min="7" max="7" width="14.670000076293945" hidden="0" customWidth="1"/>
    <x:col min="8" max="8" width="7.559999942779541" hidden="0" customWidth="1"/>
    <x:col min="9" max="9" width="9.4399995803833" hidden="0" customWidth="1"/>
    <x:col min="10" max="10" width="52.88999938964844" hidden="0" customWidth="1"/>
    <x:col min="11" max="11" width="31.219999313354492" hidden="0" customWidth="1"/>
  </x:cols>
  <x:sheetData>
    <x:row r="1">
      <x:c r="A1" s="8" t="str">
        <x:v>id_feedback</x:v>
      </x:c>
      <x:c r="B1" s="8" t="str">
        <x:v>fecha</x:v>
      </x:c>
      <x:c r="C1" s="8" t="str">
        <x:v>canal</x:v>
      </x:c>
      <x:c r="D1" s="8" t="str">
        <x:v>club</x:v>
      </x:c>
      <x:c r="E1" s="8" t="str">
        <x:v>rating</x:v>
      </x:c>
      <x:c r="F1" s="8" t="str">
        <x:v>sentimiento</x:v>
      </x:c>
      <x:c r="G1" s="8" t="str">
        <x:v>tema</x:v>
      </x:c>
      <x:c r="H1" s="8" t="str">
        <x:v>prioridad</x:v>
      </x:c>
      <x:c r="I1" s="8" t="str">
        <x:v>estado</x:v>
      </x:c>
      <x:c r="J1" s="8" t="str">
        <x:v>texto</x:v>
      </x:c>
      <x:c r="K1" s="8" t="str">
        <x:v>accion</x:v>
      </x:c>
    </x:row>
    <x:row r="2">
      <x:c r="A2" s="5" t="str">
        <x:v>V-104</x:v>
      </x:c>
      <x:c r="B2" s="5" t="str">
        <x:v>2026-05-24</x:v>
      </x:c>
      <x:c r="C2" s="5" t="str">
        <x:v>Google Reviews</x:v>
      </x:c>
      <x:c r="D2" s="5" t="str">
        <x:v>O2CW Malaga</x:v>
      </x:c>
      <x:c r="E2" s="5" t="str">
        <x:v>2</x:v>
      </x:c>
      <x:c r="F2" s="5" t="n">
        <x:v>-72</x:v>
      </x:c>
      <x:c r="G2" s="5" t="str">
        <x:v>Sauna y bano turco</x:v>
      </x:c>
      <x:c r="H2" s="5" t="str">
        <x:v>Alta</x:v>
      </x:c>
      <x:c r="I2" s="5" t="str">
        <x:v>Abierta</x:v>
      </x:c>
      <x:c r="J2" s="5" t="str">
        <x:v>La sauna estaba fuera de servicio otra vez y nadie aviso antes de entrar.</x:v>
      </x:c>
      <x:c r="K2" s="5" t="str">
        <x:v>Crear tarea preventiva y respuesta publica</x:v>
      </x:c>
    </x:row>
    <x:row r="3">
      <x:c r="A3" s="5" t="str">
        <x:v>V-098</x:v>
      </x:c>
      <x:c r="B3" s="5" t="str">
        <x:v>2026-05-23</x:v>
      </x:c>
      <x:c r="C3" s="5" t="str">
        <x:v>Hoja sugerencias</x:v>
      </x:c>
      <x:c r="D3" s="5" t="str">
        <x:v>O2CW Granada</x:v>
      </x:c>
      <x:c r="E3" s="5" t="str">
        <x:v>Sugerencia</x:v>
      </x:c>
      <x:c r="F3" s="5" t="n">
        <x:v>26</x:v>
      </x:c>
      <x:c r="G3" s="5" t="str">
        <x:v>Pistas de padel</x:v>
      </x:c>
      <x:c r="H3" s="5" t="str">
        <x:v>Media</x:v>
      </x:c>
      <x:c r="I3" s="5" t="str">
        <x:v>En curso</x:v>
      </x:c>
      <x:c r="J3" s="5" t="str">
        <x:v>Ampliar huecos de reserva en tarde.</x:v>
      </x:c>
      <x:c r="K3" s="5" t="str">
        <x:v>Cruzar aforo con reservas</x:v>
      </x:c>
    </x:row>
    <x:row r="4">
      <x:c r="A4" s="5" t="str">
        <x:v>V-091</x:v>
      </x:c>
      <x:c r="B4" s="5" t="str">
        <x:v>2026-05-22</x:v>
      </x:c>
      <x:c r="C4" s="5" t="str">
        <x:v>Recepcion</x:v>
      </x:c>
      <x:c r="D4" s="5" t="str">
        <x:v>O2CW Boutique Madrid</x:v>
      </x:c>
      <x:c r="E4" s="5" t="str">
        <x:v>Promotor</x:v>
      </x:c>
      <x:c r="F4" s="5" t="n">
        <x:v>88</x:v>
      </x:c>
      <x:c r="G4" s="5" t="str">
        <x:v>Body&amp;Soul</x:v>
      </x:c>
      <x:c r="H4" s="5" t="str">
        <x:v>Baja</x:v>
      </x:c>
      <x:c r="I4" s="5" t="str">
        <x:v>Completada</x:v>
      </x:c>
      <x:c r="J4" s="5" t="str">
        <x:v>La clase de movilidad ha sido excelente.</x:v>
      </x:c>
      <x:c r="K4" s="5" t="str">
        <x:v>Usar como senal de retencion</x:v>
      </x:c>
    </x:row>
  </x:sheetData>
  <x:pageMargins left="0.7" right="0.7" top="0.75" bottom="0.75" header="0.3" footer="0.3"/>
  <x:tableParts count="1">
    <x:tablePart xmlns:r="http://schemas.openxmlformats.org/officeDocument/2006/relationships" r:id="Rb5d3d84c577f49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9" hidden="0" customWidth="1"/>
    <x:col min="3" max="3" width="9.779999732971191" hidden="0" customWidth="1"/>
    <x:col min="4" max="4" width="17.670000076293945" hidden="0" customWidth="1"/>
    <x:col min="5" max="5" width="11.779999732971191" hidden="0" customWidth="1"/>
    <x:col min="6" max="6" width="33.66999816894531" hidden="0" customWidth="1"/>
    <x:col min="7" max="7" width="25.329999923706055" hidden="0" customWidth="1"/>
    <x:col min="8" max="8" width="14.4399995803833" hidden="0" customWidth="1"/>
    <x:col min="9" max="9" width="12.109999656677246" hidden="0" customWidth="1"/>
    <x:col min="10" max="10" width="29.889999389648438" hidden="0" customWidth="1"/>
  </x:cols>
  <x:sheetData>
    <x:row r="1">
      <x:c r="A1" s="11" t="str">
        <x:v>id_entrevista</x:v>
      </x:c>
      <x:c r="B1" s="11" t="str">
        <x:v>fecha</x:v>
      </x:c>
      <x:c r="C1" s="11" t="str">
        <x:v>lead</x:v>
      </x:c>
      <x:c r="D1" s="11" t="str">
        <x:v>club</x:v>
      </x:c>
      <x:c r="E1" s="11" t="str">
        <x:v>canal</x:v>
      </x:c>
      <x:c r="F1" s="11" t="str">
        <x:v>motivacion</x:v>
      </x:c>
      <x:c r="G1" s="11" t="str">
        <x:v>objeciones</x:v>
      </x:c>
      <x:c r="H1" s="11" t="str">
        <x:v>intencion_compra</x:v>
      </x:c>
      <x:c r="I1" s="11" t="str">
        <x:v>estado</x:v>
      </x:c>
      <x:c r="J1" s="11" t="str">
        <x:v>siguiente_accion</x:v>
      </x:c>
    </x:row>
    <x:row r="2">
      <x:c r="A2" s="5" t="str">
        <x:v>C-2401</x:v>
      </x:c>
      <x:c r="B2" s="5" t="str">
        <x:v>2026-05-24</x:v>
      </x:c>
      <x:c r="C2" s="5" t="str">
        <x:v>Ines Romero</x:v>
      </x:c>
      <x:c r="D2" s="5" t="str">
        <x:v>O2CW Sexta Avenida</x:v>
      </x:c>
      <x:c r="E2" s="5" t="str">
        <x:v>Dia de prueba</x:v>
      </x:c>
      <x:c r="F2" s="5" t="str">
        <x:v>Fuerza, piscina y fisioterapia por lesion previa</x:v>
      </x:c>
      <x:c r="G2" s="5" t="str">
        <x:v>Precio; horario despues de oficina</x:v>
      </x:c>
      <x:c r="H2" s="5" t="n">
        <x:v>86</x:v>
      </x:c>
      <x:c r="I2" s="5" t="str">
        <x:v>Visita agendada</x:v>
      </x:c>
      <x:c r="J2" s="5" t="str">
        <x:v>Enviar plan 14 dias con piscina + fisio</x:v>
      </x:c>
    </x:row>
    <x:row r="3">
      <x:c r="A3" s="5" t="str">
        <x:v>C-2388</x:v>
      </x:c>
      <x:c r="B3" s="5" t="str">
        <x:v>2026-05-23</x:v>
      </x:c>
      <x:c r="C3" s="5" t="str">
        <x:v>Alvaro Segui</x:v>
      </x:c>
      <x:c r="D3" s="5" t="str">
        <x:v>O2CW Huelva</x:v>
      </x:c>
      <x:c r="E3" s="5" t="str">
        <x:v>Formulario web</x:v>
      </x:c>
      <x:c r="F3" s="5" t="str">
        <x:v>Club familiar con piscina y padel</x:v>
      </x:c>
      <x:c r="G3" s="5" t="str">
        <x:v>Disponibilidad padel</x:v>
      </x:c>
      <x:c r="H3" s="5" t="n">
        <x:v>72</x:v>
      </x:c>
      <x:c r="I3" s="5" t="str">
        <x:v>Contactado</x:v>
      </x:c>
      <x:c r="J3" s="5" t="str">
        <x:v>Proponer visita en franja valle</x:v>
      </x:c>
    </x:row>
    <x:row r="4">
      <x:c r="A4" s="5" t="str">
        <x:v>C-2362</x:v>
      </x:c>
      <x:c r="B4" s="5" t="str">
        <x:v>2026-05-22</x:v>
      </x:c>
      <x:c r="C4" s="5" t="str">
        <x:v>Nuria Ferrer</x:v>
      </x:c>
      <x:c r="D4" s="5" t="str">
        <x:v>O2CW Boutique Girona</x:v>
      </x:c>
      <x:c r="E4" s="5" t="str">
        <x:v>Instagram</x:v>
      </x:c>
      <x:c r="F4" s="5" t="str">
        <x:v>Gimnasio femenino, yoga, pilates y sauna</x:v>
      </x:c>
      <x:c r="G4" s="5" t="str">
        <x:v>Compromiso anual</x:v>
      </x:c>
      <x:c r="H4" s="5" t="n">
        <x:v>91</x:v>
      </x:c>
      <x:c r="I4" s="5" t="str">
        <x:v>Alta probable</x:v>
      </x:c>
      <x:c r="J4" s="5" t="str">
        <x:v>Cerrar mensual con upgrade Body&amp;Soul</x:v>
      </x:c>
    </x:row>
  </x:sheetData>
  <x:pageMargins left="0.7" right="0.7" top="0.75" bottom="0.75" header="0.3" footer="0.3"/>
  <x:tableParts count="1">
    <x:tablePart xmlns:r="http://schemas.openxmlformats.org/officeDocument/2006/relationships" r:id="Rab2ae02321c44d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13.5600004196167" hidden="0" customWidth="1"/>
    <x:col min="3" max="3" width="17.329999923706055" hidden="0" customWidth="1"/>
    <x:col min="4" max="4" width="8.890000343322754" hidden="0" customWidth="1"/>
    <x:col min="5" max="5" width="8" hidden="0" customWidth="1"/>
    <x:col min="6" max="6" width="12" hidden="0" customWidth="1"/>
    <x:col min="7" max="7" width="9.220000267028809" hidden="0" customWidth="1"/>
    <x:col min="8" max="8" width="8.670000076293945" hidden="0" customWidth="1"/>
    <x:col min="9" max="9" width="30.780000686645508" hidden="0" customWidth="1"/>
  </x:cols>
  <x:sheetData>
    <x:row r="1">
      <x:c r="A1" s="3" t="str">
        <x:v>id_aforo</x:v>
      </x:c>
      <x:c r="B1" s="3" t="str">
        <x:v>fecha_hora</x:v>
      </x:c>
      <x:c r="C1" s="3" t="str">
        <x:v>club</x:v>
      </x:c>
      <x:c r="D1" s="3" t="str">
        <x:v>zona</x:v>
      </x:c>
      <x:c r="E1" s="3" t="str">
        <x:v>tipo_zona</x:v>
      </x:c>
      <x:c r="F1" s="3" t="str">
        <x:v>ocupacion_pct</x:v>
      </x:c>
      <x:c r="G1" s="3" t="str">
        <x:v>umbral_pct</x:v>
      </x:c>
      <x:c r="H1" s="3" t="str">
        <x:v>estado</x:v>
      </x:c>
      <x:c r="I1" s="3" t="str">
        <x:v>accion_recomendada</x:v>
      </x:c>
    </x:row>
    <x:row r="2">
      <x:c r="A2" s="5" t="str">
        <x:v>AF-001</x:v>
      </x:c>
      <x:c r="B2" s="5" t="str">
        <x:v>2026-05-25 18:30</x:v>
      </x:c>
      <x:c r="C2" s="5" t="str">
        <x:v>O2CW Malaga</x:v>
      </x:c>
      <x:c r="D2" s="5" t="str">
        <x:v>Padel</x:v>
      </x:c>
      <x:c r="E2" s="5" t="str">
        <x:v>padel</x:v>
      </x:c>
      <x:c r="F2" s="5" t="n">
        <x:v>94</x:v>
      </x:c>
      <x:c r="G2" s="5" t="n">
        <x:v>85</x:v>
      </x:c>
      <x:c r="H2" s="5" t="str">
        <x:v>Saturado</x:v>
      </x:c>
      <x:c r="I2" s="5" t="str">
        <x:v>Abrir lista de espera y sugerir franja 21:00</x:v>
      </x:c>
    </x:row>
    <x:row r="3">
      <x:c r="A3" s="5" t="str">
        <x:v>AF-002</x:v>
      </x:c>
      <x:c r="B3" s="5" t="str">
        <x:v>2026-05-25 18:30</x:v>
      </x:c>
      <x:c r="C3" s="5" t="str">
        <x:v>O2CW Manuel Becerra</x:v>
      </x:c>
      <x:c r="D3" s="5" t="str">
        <x:v>Spa</x:v>
      </x:c>
      <x:c r="E3" s="5" t="str">
        <x:v>spa</x:v>
      </x:c>
      <x:c r="F3" s="5" t="n">
        <x:v>88</x:v>
      </x:c>
      <x:c r="G3" s="5" t="n">
        <x:v>80</x:v>
      </x:c>
      <x:c r="H3" s="5" t="str">
        <x:v>Tension</x:v>
      </x:c>
      <x:c r="I3" s="5" t="str">
        <x:v>Aviso app y refuerzo limpieza</x:v>
      </x:c>
    </x:row>
    <x:row r="4">
      <x:c r="A4" s="5" t="str">
        <x:v>AF-003</x:v>
      </x:c>
      <x:c r="B4" s="5" t="str">
        <x:v>2026-05-25 18:30</x:v>
      </x:c>
      <x:c r="C4" s="5" t="str">
        <x:v>O2CW Granada</x:v>
      </x:c>
      <x:c r="D4" s="5" t="str">
        <x:v>Piscina</x:v>
      </x:c>
      <x:c r="E4" s="5" t="str">
        <x:v>piscina</x:v>
      </x:c>
      <x:c r="F4" s="5" t="n">
        <x:v>76</x:v>
      </x:c>
      <x:c r="G4" s="5" t="n">
        <x:v>82</x:v>
      </x:c>
      <x:c r="H4" s="5" t="str">
        <x:v>Controlado</x:v>
      </x:c>
      <x:c r="I4" s="5" t="str">
        <x:v>Mantener monitorizacion</x:v>
      </x:c>
    </x:row>
    <x:row r="5">
      <x:c r="A5" s="5" t="str">
        <x:v>AF-004</x:v>
      </x:c>
      <x:c r="B5" s="5" t="str">
        <x:v>2026-05-25 18:30</x:v>
      </x:c>
      <x:c r="C5" s="5" t="str">
        <x:v>O2CW Huelva</x:v>
      </x:c>
      <x:c r="D5" s="5" t="str">
        <x:v>Sala fitness</x:v>
      </x:c>
      <x:c r="E5" s="5" t="str">
        <x:v>fitness</x:v>
      </x:c>
      <x:c r="F5" s="5" t="n">
        <x:v>82</x:v>
      </x:c>
      <x:c r="G5" s="5" t="n">
        <x:v>84</x:v>
      </x:c>
      <x:c r="H5" s="5" t="str">
        <x:v>Tension</x:v>
      </x:c>
      <x:c r="I5" s="5" t="str">
        <x:v>Refuerzo tecnico 19:00-20:30</x:v>
      </x:c>
    </x:row>
  </x:sheetData>
  <x:pageMargins left="0.7" right="0.7" top="0.75" bottom="0.75" header="0.3" footer="0.3"/>
  <x:tableParts count="1">
    <x:tablePart xmlns:r="http://schemas.openxmlformats.org/officeDocument/2006/relationships" r:id="R5bd4204671df41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7.329999923706055" hidden="0" customWidth="1"/>
    <x:col min="3" max="3" width="15.4399995803833" hidden="0" customWidth="1"/>
    <x:col min="4" max="4" width="8.5600004196167" hidden="0" customWidth="1"/>
    <x:col min="5" max="5" width="10.779999732971191" hidden="0" customWidth="1"/>
    <x:col min="6" max="6" width="10.890000343322754" hidden="0" customWidth="1"/>
    <x:col min="7" max="7" width="9.670000076293945" hidden="0" customWidth="1"/>
    <x:col min="8" max="8" width="23" hidden="0" customWidth="1"/>
    <x:col min="9" max="9" width="11.670000076293945" hidden="0" customWidth="1"/>
  </x:cols>
  <x:sheetData>
    <x:row r="1">
      <x:c r="A1" s="11" t="str">
        <x:v>id_activo</x:v>
      </x:c>
      <x:c r="B1" s="11" t="str">
        <x:v>club</x:v>
      </x:c>
      <x:c r="C1" s="11" t="str">
        <x:v>instalacion</x:v>
      </x:c>
      <x:c r="D1" s="11" t="str">
        <x:v>horas_uso</x:v>
      </x:c>
      <x:c r="E1" s="11" t="str">
        <x:v>umbral_aviso</x:v>
      </x:c>
      <x:c r="F1" s="11" t="str">
        <x:v>riesgo_averia</x:v>
      </x:c>
      <x:c r="G1" s="11" t="str">
        <x:v>estado</x:v>
      </x:c>
      <x:c r="H1" s="11" t="str">
        <x:v>accion</x:v>
      </x:c>
      <x:c r="I1" s="11" t="str">
        <x:v>fecha_revision</x:v>
      </x:c>
    </x:row>
    <x:row r="2">
      <x:c r="A2" s="5" t="str">
        <x:v>M-447</x:v>
      </x:c>
      <x:c r="B2" s="5" t="str">
        <x:v>O2CW Malaga</x:v>
      </x:c>
      <x:c r="C2" s="5" t="str">
        <x:v>Sauna seca</x:v>
      </x:c>
      <x:c r="D2" s="5" t="n">
        <x:v>392</x:v>
      </x:c>
      <x:c r="E2" s="5" t="n">
        <x:v>420</x:v>
      </x:c>
      <x:c r="F2" s="5" t="n">
        <x:v>84</x:v>
      </x:c>
      <x:c r="G2" s="5" t="str">
        <x:v>Preventivo</x:v>
      </x:c>
      <x:c r="H2" s="5" t="str">
        <x:v>Revision resistencia y sensor</x:v>
      </x:c>
      <x:c r="I2" s="5" t="str">
        <x:v>2026-05-27</x:v>
      </x:c>
    </x:row>
    <x:row r="3">
      <x:c r="A3" s="5" t="str">
        <x:v>M-441</x:v>
      </x:c>
      <x:c r="B3" s="5" t="str">
        <x:v>O2CW Granada</x:v>
      </x:c>
      <x:c r="C3" s="5" t="str">
        <x:v>Duchas vestuario</x:v>
      </x:c>
      <x:c r="D3" s="5" t="n">
        <x:v>1180</x:v>
      </x:c>
      <x:c r="E3" s="5" t="n">
        <x:v>1300</x:v>
      </x:c>
      <x:c r="F3" s="5" t="n">
        <x:v>68</x:v>
      </x:c>
      <x:c r="G3" s="5" t="str">
        <x:v>Observacion</x:v>
      </x:c>
      <x:c r="H3" s="5" t="str">
        <x:v>Inspeccion caudal y juntas</x:v>
      </x:c>
      <x:c r="I3" s="5" t="str">
        <x:v>2026-05-29</x:v>
      </x:c>
    </x:row>
    <x:row r="4">
      <x:c r="A4" s="5" t="str">
        <x:v>M-430</x:v>
      </x:c>
      <x:c r="B4" s="5" t="str">
        <x:v>O2CW Huelva</x:v>
      </x:c>
      <x:c r="C4" s="5" t="str">
        <x:v>Cinta Technogym 04</x:v>
      </x:c>
      <x:c r="D4" s="5" t="n">
        <x:v>780</x:v>
      </x:c>
      <x:c r="E4" s="5" t="n">
        <x:v>1100</x:v>
      </x:c>
      <x:c r="F4" s="5" t="n">
        <x:v>42</x:v>
      </x:c>
      <x:c r="G4" s="5" t="str">
        <x:v>Normal</x:v>
      </x:c>
      <x:c r="H4" s="5" t="str">
        <x:v>Mantenimiento programado</x:v>
      </x:c>
      <x:c r="I4" s="5" t="str">
        <x:v>2026-06-04</x:v>
      </x:c>
    </x:row>
    <x:row r="5">
      <x:c r="A5" s="5" t="str">
        <x:v>M-422</x:v>
      </x:c>
      <x:c r="B5" s="5" t="str">
        <x:v>O2CW Manuel Becerra</x:v>
      </x:c>
      <x:c r="C5" s="5" t="str">
        <x:v>Bomba hidromasaje</x:v>
      </x:c>
      <x:c r="D5" s="5" t="n">
        <x:v>610</x:v>
      </x:c>
      <x:c r="E5" s="5" t="n">
        <x:v>680</x:v>
      </x:c>
      <x:c r="F5" s="5" t="n">
        <x:v>73</x:v>
      </x:c>
      <x:c r="G5" s="5" t="str">
        <x:v>Preventivo</x:v>
      </x:c>
      <x:c r="H5" s="5" t="str">
        <x:v>Cambio filtro y check vibracion</x:v>
      </x:c>
      <x:c r="I5" s="5" t="str">
        <x:v>2026-05-28</x:v>
      </x:c>
    </x:row>
  </x:sheetData>
  <x:pageMargins left="0.7" right="0.7" top="0.75" bottom="0.75" header="0.3" footer="0.3"/>
  <x:tableParts count="1">
    <x:tablePart xmlns:r="http://schemas.openxmlformats.org/officeDocument/2006/relationships" r:id="Rc5ecb07b239e46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9" hidden="0" customWidth="1"/>
    <x:col min="3" max="3" width="17.329999923706055" hidden="0" customWidth="1"/>
    <x:col min="4" max="4" width="14.329999923706055" hidden="0" customWidth="1"/>
    <x:col min="5" max="5" width="7.559999942779541" hidden="0" customWidth="1"/>
    <x:col min="6" max="6" width="7.889999866485596" hidden="0" customWidth="1"/>
    <x:col min="7" max="7" width="41.439998626708984" hidden="0" customWidth="1"/>
    <x:col min="8" max="8" width="12.329999923706055" hidden="0" customWidth="1"/>
  </x:cols>
  <x:sheetData>
    <x:row r="1">
      <x:c r="A1" s="8" t="str">
        <x:v>id_tarea</x:v>
      </x:c>
      <x:c r="B1" s="8" t="str">
        <x:v>categoria</x:v>
      </x:c>
      <x:c r="C1" s="8" t="str">
        <x:v>club</x:v>
      </x:c>
      <x:c r="D1" s="8" t="str">
        <x:v>responsable</x:v>
      </x:c>
      <x:c r="E1" s="8" t="str">
        <x:v>prioridad</x:v>
      </x:c>
      <x:c r="F1" s="8" t="str">
        <x:v>estado</x:v>
      </x:c>
      <x:c r="G1" s="8" t="str">
        <x:v>descripcion</x:v>
      </x:c>
      <x:c r="H1" s="8" t="str">
        <x:v>fecha_creacion</x:v>
      </x:c>
    </x:row>
    <x:row r="2">
      <x:c r="A2" s="5" t="str">
        <x:v>T-801</x:v>
      </x:c>
      <x:c r="B2" s="5" t="str">
        <x:v>Retencion</x:v>
      </x:c>
      <x:c r="C2" s="5" t="str">
        <x:v>O2CW Manuel Becerra</x:v>
      </x:c>
      <x:c r="D2" s="5" t="str">
        <x:v>Customer Success</x:v>
      </x:c>
      <x:c r="E2" s="5" t="str">
        <x:v>Alta</x:v>
      </x:c>
      <x:c r="F2" s="5" t="str">
        <x:v>Hoy</x:v>
      </x:c>
      <x:c r="G2" s="5" t="str">
        <x:v>Llamar a Clara Valera con propuesta spa + rutina.</x:v>
      </x:c>
      <x:c r="H2" s="5" t="str">
        <x:v>2026-05-25</x:v>
      </x:c>
    </x:row>
    <x:row r="3">
      <x:c r="A3" s="5" t="str">
        <x:v>T-790</x:v>
      </x:c>
      <x:c r="B3" s="5" t="str">
        <x:v>Experiencia</x:v>
      </x:c>
      <x:c r="C3" s="5" t="str">
        <x:v>O2CW Malaga</x:v>
      </x:c>
      <x:c r="D3" s="5" t="str">
        <x:v>Club manager</x:v>
      </x:c>
      <x:c r="E3" s="5" t="str">
        <x:v>Alta</x:v>
      </x:c>
      <x:c r="F3" s="5" t="str">
        <x:v>En curso</x:v>
      </x:c>
      <x:c r="G3" s="5" t="str">
        <x:v>Responder resena sobre sauna y validar mantenimiento.</x:v>
      </x:c>
      <x:c r="H3" s="5" t="str">
        <x:v>2026-05-24</x:v>
      </x:c>
    </x:row>
    <x:row r="4">
      <x:c r="A4" s="5" t="str">
        <x:v>T-772</x:v>
      </x:c>
      <x:c r="B4" s="5" t="str">
        <x:v>Aforo</x:v>
      </x:c>
      <x:c r="C4" s="5" t="str">
        <x:v>O2CW Malaga</x:v>
      </x:c>
      <x:c r="D4" s="5" t="str">
        <x:v>Operaciones</x:v>
      </x:c>
      <x:c r="E4" s="5" t="str">
        <x:v>Media</x:v>
      </x:c>
      <x:c r="F4" s="5" t="str">
        <x:v>Pendiente</x:v>
      </x:c>
      <x:c r="G4" s="5" t="str">
        <x:v>Redistribuir reservas de padel en hora punta.</x:v>
      </x:c>
      <x:c r="H4" s="5" t="str">
        <x:v>2026-05-24</x:v>
      </x:c>
    </x:row>
  </x:sheetData>
  <x:pageMargins left="0.7" right="0.7" top="0.75" bottom="0.75" header="0.3" footer="0.3"/>
  <x:tableParts count="1">
    <x:tablePart xmlns:r="http://schemas.openxmlformats.org/officeDocument/2006/relationships" r:id="R1ce2ddbd28c646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.329999923706055" hidden="0" customWidth="1"/>
    <x:col min="3" max="3" width="11.329999923706055" hidden="0" customWidth="1"/>
    <x:col min="4" max="4" width="17.329999923706055" hidden="0" customWidth="1"/>
    <x:col min="5" max="5" width="6.329999923706055" hidden="0" customWidth="1"/>
    <x:col min="6" max="6" width="14.5600004196167" hidden="0" customWidth="1"/>
    <x:col min="7" max="7" width="8.109999656677246" hidden="0" customWidth="1"/>
    <x:col min="8" max="8" width="11.329999923706055" hidden="0" customWidth="1"/>
    <x:col min="9" max="9" width="15.670000076293945" hidden="0" customWidth="1"/>
    <x:col min="10" max="10" width="26.889999389648438" hidden="0" customWidth="1"/>
  </x:cols>
  <x:sheetData>
    <x:row r="1">
      <x:c r="A1" s="14" t="str">
        <x:v>fecha</x:v>
      </x:c>
      <x:c r="B1" s="14" t="str">
        <x:v>tipo</x:v>
      </x:c>
      <x:c r="C1" s="14" t="str">
        <x:v>categoria</x:v>
      </x:c>
      <x:c r="D1" s="14" t="str">
        <x:v>club</x:v>
      </x:c>
      <x:c r="E1" s="14" t="str">
        <x:v>entidad</x:v>
      </x:c>
      <x:c r="F1" s="14" t="str">
        <x:v>importe_estimado</x:v>
      </x:c>
      <x:c r="G1" s="14" t="str">
        <x:v>estado</x:v>
      </x:c>
      <x:c r="H1" s="14" t="str">
        <x:v>origen</x:v>
      </x:c>
      <x:c r="I1" s="14" t="str">
        <x:v>trigger_relacionado</x:v>
      </x:c>
      <x:c r="J1" s="14" t="str">
        <x:v>comentario</x:v>
      </x:c>
    </x:row>
    <x:row r="2">
      <x:c r="A2" s="5" t="str">
        <x:v>2026-05-25</x:v>
      </x:c>
      <x:c r="B2" s="5" t="str">
        <x:v>ingreso protegido</x:v>
      </x:c>
      <x:c r="C2" s="5" t="str">
        <x:v>retencion</x:v>
      </x:c>
      <x:c r="D2" s="5" t="str">
        <x:v>O2CW Manuel Becerra</x:v>
      </x:c>
      <x:c r="E2" s="5" t="str">
        <x:v>S-1748</x:v>
      </x:c>
      <x:c r="F2" s="5" t="n">
        <x:v>3240</x:v>
      </x:c>
      <x:c r="G2" s="5" t="str">
        <x:v>en riesgo</x:v>
      </x:c>
      <x:c r="H2" s="5" t="str">
        <x:v>lifetime</x:v>
      </x:c>
      <x:c r="I2" s="5" t="str">
        <x:v>churn</x:v>
      </x:c>
      <x:c r="J2" s="5" t="str">
        <x:v>LTV protegido si se recupera habito</x:v>
      </x:c>
    </x:row>
    <x:row r="3">
      <x:c r="A3" s="5" t="str">
        <x:v>2026-05-26</x:v>
      </x:c>
      <x:c r="B3" s="5" t="str">
        <x:v>coste evitado</x:v>
      </x:c>
      <x:c r="C3" s="5" t="str">
        <x:v>mantenimiento</x:v>
      </x:c>
      <x:c r="D3" s="5" t="str">
        <x:v>O2CW Malaga</x:v>
      </x:c>
      <x:c r="E3" s="5" t="str">
        <x:v>M-447</x:v>
      </x:c>
      <x:c r="F3" s="5" t="n">
        <x:v>1800</x:v>
      </x:c>
      <x:c r="G3" s="5" t="str">
        <x:v>preventivo</x:v>
      </x:c>
      <x:c r="H3" s="5" t="str">
        <x:v>mantenimiento</x:v>
      </x:c>
      <x:c r="I3" s="5" t="str">
        <x:v>maintenance</x:v>
      </x:c>
      <x:c r="J3" s="5" t="str">
        <x:v>Evitar cierre no planificado de sauna</x:v>
      </x:c>
    </x:row>
    <x:row r="4">
      <x:c r="A4" s="5" t="str">
        <x:v>2026-05-25</x:v>
      </x:c>
      <x:c r="B4" s="5" t="str">
        <x:v>reputacion</x:v>
      </x:c>
      <x:c r="C4" s="5" t="str">
        <x:v>voz_cliente</x:v>
      </x:c>
      <x:c r="D4" s="5" t="str">
        <x:v>O2CW Malaga</x:v>
      </x:c>
      <x:c r="E4" s="5" t="str">
        <x:v>V-104</x:v>
      </x:c>
      <x:c r="F4" s="5" t="n">
        <x:v>900</x:v>
      </x:c>
      <x:c r="G4" s="5" t="str">
        <x:v>abierto</x:v>
      </x:c>
      <x:c r="H4" s="5" t="str">
        <x:v>voz_cliente</x:v>
      </x:c>
      <x:c r="I4" s="5" t="str">
        <x:v>voice</x:v>
      </x:c>
      <x:c r="J4" s="5" t="str">
        <x:v>Gestion de resena critica</x:v>
      </x:c>
    </x:row>
    <x:row r="5">
      <x:c r="A5" s="5" t="str">
        <x:v>2026-05-28</x:v>
      </x:c>
      <x:c r="B5" s="5" t="str">
        <x:v>pipeline</x:v>
      </x:c>
      <x:c r="C5" s="5" t="str">
        <x:v>comercial</x:v>
      </x:c>
      <x:c r="D5" s="5" t="str">
        <x:v>O2CW Sexta Avenida</x:v>
      </x:c>
      <x:c r="E5" s="5" t="str">
        <x:v>C-2401</x:v>
      </x:c>
      <x:c r="F5" s="5" t="n">
        <x:v>1280</x:v>
      </x:c>
      <x:c r="G5" s="5" t="str">
        <x:v>probable</x:v>
      </x:c>
      <x:c r="H5" s="5" t="str">
        <x:v>ventas</x:v>
      </x:c>
      <x:c r="I5" s="5" t="str">
        <x:v>sales</x:v>
      </x:c>
      <x:c r="J5" s="5" t="str">
        <x:v>Alta esperada Well Living</x:v>
      </x:c>
    </x:row>
  </x:sheetData>
  <x:pageMargins left="0.7" right="0.7" top="0.75" bottom="0.75" header="0.3" footer="0.3"/>
  <x:tableParts count="1">
    <x:tablePart xmlns:r="http://schemas.openxmlformats.org/officeDocument/2006/relationships" r:id="R1497aa44a83d46de"/>
  </x:tableParts>
</x:worksheet>
</file>