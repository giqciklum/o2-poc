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d3c105af3447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bfac4ba91d24714"/>
    <x:sheet xmlns:r="http://schemas.openxmlformats.org/officeDocument/2006/relationships" name="socios" sheetId="2" r:id="Rab088dac2e034fe1"/>
    <x:sheet xmlns:r="http://schemas.openxmlformats.org/officeDocument/2006/relationships" name="voz_cliente" sheetId="3" r:id="R962d333b38554744"/>
    <x:sheet xmlns:r="http://schemas.openxmlformats.org/officeDocument/2006/relationships" name="comunicaciones" sheetId="4" r:id="R1d4b43510fbe4cac"/>
    <x:sheet xmlns:r="http://schemas.openxmlformats.org/officeDocument/2006/relationships" name="encuestas" sheetId="5" r:id="Re60a2ddbf7c244f0"/>
    <x:sheet xmlns:r="http://schemas.openxmlformats.org/officeDocument/2006/relationships" name="habitos_uso" sheetId="6" r:id="R44ee47275c144584"/>
    <x:sheet xmlns:r="http://schemas.openxmlformats.org/officeDocument/2006/relationships" name="necesidades_o2" sheetId="7" r:id="R2aaa7f06f2cb4b6f"/>
    <x:sheet xmlns:r="http://schemas.openxmlformats.org/officeDocument/2006/relationships" name="entrevistas_comerciales" sheetId="8" r:id="R8b374e8178914371"/>
    <x:sheet xmlns:r="http://schemas.openxmlformats.org/officeDocument/2006/relationships" name="aforos" sheetId="9" r:id="Ra2423e2fa0b7431a"/>
    <x:sheet xmlns:r="http://schemas.openxmlformats.org/officeDocument/2006/relationships" name="mantenimiento" sheetId="10" r:id="R057f888b7bca4f25"/>
    <x:sheet xmlns:r="http://schemas.openxmlformats.org/officeDocument/2006/relationships" name="tareas" sheetId="11" r:id="Re6d3290ff0e44820"/>
    <x:sheet xmlns:r="http://schemas.openxmlformats.org/officeDocument/2006/relationships" name="agenda_impacto" sheetId="12" r:id="R763ad951326c43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3">
    <x:font>
      <x:sz val="11"/>
      <x:name val="Carlito"/>
    </x:font>
    <x:font>
      <x:b/>
      <x:sz val="11"/>
      <x:color rgb="FFFFFFFF"/>
      <x:name val="Carlito"/>
    </x:font>
    <x:font>
      <x:sz val="11"/>
      <x:color rgb="FF07101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09DE0"/>
      </x:patternFill>
    </x:fill>
    <x:fill>
      <x:patternFill patternType="solid">
        <x:fgColor rgb="FF071016"/>
      </x:patternFill>
    </x:fill>
    <x:fill>
      <x:patternFill patternType="solid">
        <x:fgColor rgb="FF006F9F"/>
      </x:patternFill>
    </x:fill>
    <x:fill>
      <x:patternFill patternType="solid">
        <x:fgColor rgb="FFD6A94A"/>
      </x:patternFill>
    </x:fill>
    <x:fill>
      <x:patternFill patternType="solid">
        <x:fgColor rgb="FFEEF5F9"/>
      </x:patternFill>
    </x:fill>
    <x:fill>
      <x:patternFill patternType="solid">
        <x:fgColor rgb="FFF8FBFD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7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22b90cc51c4def" /><Relationship Type="http://schemas.openxmlformats.org/officeDocument/2006/relationships/theme" Target="/xl/theme/theme1.xml" Id="Redcc828b0fc04507" /><Relationship Type="http://schemas.openxmlformats.org/officeDocument/2006/relationships/sharedStrings" Target="/xl/sharedStrings.xml" Id="R23f210f0aa094d98" /><Relationship Type="http://schemas.openxmlformats.org/officeDocument/2006/relationships/worksheet" Target="/xl/worksheets/sheet1.xml" Id="R4bfac4ba91d24714" /><Relationship Type="http://schemas.openxmlformats.org/officeDocument/2006/relationships/worksheet" Target="/xl/worksheets/sheet2.xml" Id="Rab088dac2e034fe1" /><Relationship Type="http://schemas.openxmlformats.org/officeDocument/2006/relationships/worksheet" Target="/xl/worksheets/sheet3.xml" Id="R962d333b38554744" /><Relationship Type="http://schemas.openxmlformats.org/officeDocument/2006/relationships/worksheet" Target="/xl/worksheets/sheet4.xml" Id="R1d4b43510fbe4cac" /><Relationship Type="http://schemas.openxmlformats.org/officeDocument/2006/relationships/worksheet" Target="/xl/worksheets/sheet5.xml" Id="Re60a2ddbf7c244f0" /><Relationship Type="http://schemas.openxmlformats.org/officeDocument/2006/relationships/worksheet" Target="/xl/worksheets/sheet6.xml" Id="R44ee47275c144584" /><Relationship Type="http://schemas.openxmlformats.org/officeDocument/2006/relationships/worksheet" Target="/xl/worksheets/sheet7.xml" Id="R2aaa7f06f2cb4b6f" /><Relationship Type="http://schemas.openxmlformats.org/officeDocument/2006/relationships/worksheet" Target="/xl/worksheets/sheet8.xml" Id="R8b374e8178914371" /><Relationship Type="http://schemas.openxmlformats.org/officeDocument/2006/relationships/worksheet" Target="/xl/worksheets/sheet9.xml" Id="Ra2423e2fa0b7431a" /><Relationship Type="http://schemas.openxmlformats.org/officeDocument/2006/relationships/worksheet" Target="/xl/worksheets/sheet10.xml" Id="R057f888b7bca4f25" /><Relationship Type="http://schemas.openxmlformats.org/officeDocument/2006/relationships/worksheet" Target="/xl/worksheets/sheet11.xml" Id="Re6d3290ff0e44820" /><Relationship Type="http://schemas.openxmlformats.org/officeDocument/2006/relationships/worksheet" Target="/xl/worksheets/sheet12.xml" Id="R763ad951326c434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360bbbe877d4ff9" /><Relationship Type="http://schemas.openxmlformats.org/officeDocument/2006/relationships/chart" Target="/xl/drawings/charts/chart2.xml" Id="Rb5ac3071a82a43a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Radar de retencion: frecuencia vs churn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Visitas Clara</c:v>
          </c:tx>
          <c:cat>
            <c:strRef>
              <c:f>'Dashboard'!$J$5:$J$10</c:f>
              <c:strCache>
                <c:ptCount val="0"/>
              </c:strCache>
            </c:strRef>
          </c:cat>
          <c:val>
            <c:numRef>
              <c:f>'Dashboard'!$K$5:$K$10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Churn score</c:v>
          </c:tx>
          <c:cat>
            <c:strRef>
              <c:f>'Dashboard'!$J$5:$J$10</c:f>
              <c:strCache>
                <c:ptCount val="0"/>
              </c:strCache>
            </c:strRef>
          </c:cat>
          <c:val>
            <c:numRef>
              <c:f>'Dashboard'!$L$5:$L$10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Voz del cliente por tema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Casos</c:v>
          </c:tx>
          <c:cat>
            <c:strRef>
              <c:f>'Dashboard'!$N$5:$N$9</c:f>
              <c:strCache>
                <c:ptCount val="0"/>
              </c:strCache>
            </c:strRef>
          </c:cat>
          <c:val>
            <c:numRef>
              <c:f>'Dashboard'!$O$5:$O$9</c:f>
              <c:numCache>
                <c:formatCode>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12</xdr:row>
      <xdr:rowOff>0</xdr:rowOff>
    </xdr:from>
    <xdr:to>
      <xdr:col>8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360bbbe877d4ff9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17</xdr:col>
      <xdr:colOff>0</xdr:colOff>
      <xdr:row>30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ac3071a82a43a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ociosTable" displayName="sociosTable" ref="A1:L25" headerRowCount="1">
  <x:autoFilter ref="A1:L25"/>
  <x:tableColumns count="12">
    <x:tableColumn id="1" name="id_socio"/>
    <x:tableColumn id="2" name="nombre"/>
    <x:tableColumn id="3" name="club"/>
    <x:tableColumn id="4" name="plan"/>
    <x:tableColumn id="5" name="fecha_alta"/>
    <x:tableColumn id="6" name="estado"/>
    <x:tableColumn id="7" name="frecuencia_30d"/>
    <x:tableColumn id="8" name="frecuencia_prev_30d"/>
    <x:tableColumn id="9" name="churn_score"/>
    <x:tableColumn id="10" name="ltv_estimado"/>
    <x:tableColumn id="11" name="programa"/>
    <x:tableColumn id="12" name="accion_recomendada"/>
  </x:tableColumns>
  <x:tableStyleInfo name="TableStyleMedium2" showRowStripes="1"/>
</x:table>
</file>

<file path=xl/tables/table2.xml><?xml version="1.0" encoding="utf-8"?>
<x:table xmlns:x="http://schemas.openxmlformats.org/spreadsheetml/2006/main" id="2" name="vozclienteTable" displayName="vozclienteTable" ref="A1:K13" headerRowCount="1">
  <x:autoFilter ref="A1:K13"/>
  <x:tableColumns count="11">
    <x:tableColumn id="1" name="id_feedback"/>
    <x:tableColumn id="2" name="fecha"/>
    <x:tableColumn id="3" name="canal"/>
    <x:tableColumn id="4" name="club"/>
    <x:tableColumn id="5" name="rating"/>
    <x:tableColumn id="6" name="sentimiento"/>
    <x:tableColumn id="7" name="tema"/>
    <x:tableColumn id="8" name="prioridad"/>
    <x:tableColumn id="9" name="estado"/>
    <x:tableColumn id="10" name="texto"/>
    <x:tableColumn id="11" name="accion"/>
  </x:tableColumns>
  <x:tableStyleInfo name="TableStyleMedium2" showRowStripes="1"/>
</x:table>
</file>

<file path=xl/tables/table3.xml><?xml version="1.0" encoding="utf-8"?>
<x:table xmlns:x="http://schemas.openxmlformats.org/spreadsheetml/2006/main" id="3" name="comunicacionesTable" displayName="comunicacionesTable" ref="A1:I10" headerRowCount="1">
  <x:autoFilter ref="A1:I10"/>
  <x:tableColumns count="9">
    <x:tableColumn id="1" name="id_comunicacion"/>
    <x:tableColumn id="2" name="fecha"/>
    <x:tableColumn id="3" name="id_socio"/>
    <x:tableColumn id="4" name="club"/>
    <x:tableColumn id="5" name="canal"/>
    <x:tableColumn id="6" name="motivo"/>
    <x:tableColumn id="7" name="sentimiento"/>
    <x:tableColumn id="8" name="resultado"/>
    <x:tableColumn id="9" name="siguiente_accion"/>
  </x:tableColumns>
  <x:tableStyleInfo name="TableStyleMedium2" showRowStripes="1"/>
</x:table>
</file>

<file path=xl/tables/table4.xml><?xml version="1.0" encoding="utf-8"?>
<x:table xmlns:x="http://schemas.openxmlformats.org/spreadsheetml/2006/main" id="4" name="encuestasTable" displayName="encuestasTable" ref="A1:I9" headerRowCount="1">
  <x:autoFilter ref="A1:I9"/>
  <x:tableColumns count="9">
    <x:tableColumn id="1" name="id_encuesta"/>
    <x:tableColumn id="2" name="fecha"/>
    <x:tableColumn id="3" name="id_socio"/>
    <x:tableColumn id="4" name="club"/>
    <x:tableColumn id="5" name="nps"/>
    <x:tableColumn id="6" name="satisfaccion"/>
    <x:tableColumn id="7" name="puntos_dolor"/>
    <x:tableColumn id="8" name="area_mejora"/>
    <x:tableColumn id="9" name="accion_recomendada"/>
  </x:tableColumns>
  <x:tableStyleInfo name="TableStyleMedium2" showRowStripes="1"/>
</x:table>
</file>

<file path=xl/tables/table5.xml><?xml version="1.0" encoding="utf-8"?>
<x:table xmlns:x="http://schemas.openxmlformats.org/spreadsheetml/2006/main" id="5" name="habitosusoTable" displayName="habitosusoTable" ref="A1:I10" headerRowCount="1">
  <x:autoFilter ref="A1:I10"/>
  <x:tableColumns count="9">
    <x:tableColumn id="1" name="id_habito"/>
    <x:tableColumn id="2" name="id_socio"/>
    <x:tableColumn id="3" name="periodo"/>
    <x:tableColumn id="4" name="club"/>
    <x:tableColumn id="5" name="accesos"/>
    <x:tableColumn id="6" name="reservas"/>
    <x:tableColumn id="7" name="servicios_usados"/>
    <x:tableColumn id="8" name="cambio_tendencia"/>
    <x:tableColumn id="9" name="lectura"/>
  </x:tableColumns>
  <x:tableStyleInfo name="TableStyleMedium2" showRowStripes="1"/>
</x:table>
</file>

<file path=xl/tables/table6.xml><?xml version="1.0" encoding="utf-8"?>
<x:table xmlns:x="http://schemas.openxmlformats.org/spreadsheetml/2006/main" id="6" name="necesidadeso2Table" displayName="necesidadeso2Table" ref="A1:F6" headerRowCount="1">
  <x:autoFilter ref="A1:F6"/>
  <x:tableColumns count="6">
    <x:tableColumn id="1" name="necesidad"/>
    <x:tableColumn id="2" name="informacion_utilizada"/>
    <x:tableColumn id="3" name="herramienta_poc"/>
    <x:tableColumn id="4" name="kpi_demo"/>
    <x:tableColumn id="5" name="responsable"/>
    <x:tableColumn id="6" name="estado"/>
  </x:tableColumns>
  <x:tableStyleInfo name="TableStyleMedium2" showRowStripes="1"/>
</x:table>
</file>

<file path=xl/tables/table7.xml><?xml version="1.0" encoding="utf-8"?>
<x:table xmlns:x="http://schemas.openxmlformats.org/spreadsheetml/2006/main" id="7" name="entrevistascomercialesTable" displayName="entrevistascomercialesTable" ref="A1:J12" headerRowCount="1">
  <x:autoFilter ref="A1:J12"/>
  <x:tableColumns count="10">
    <x:tableColumn id="1" name="id_entrevista"/>
    <x:tableColumn id="2" name="fecha"/>
    <x:tableColumn id="3" name="lead"/>
    <x:tableColumn id="4" name="club"/>
    <x:tableColumn id="5" name="canal"/>
    <x:tableColumn id="6" name="motivacion"/>
    <x:tableColumn id="7" name="objeciones"/>
    <x:tableColumn id="8" name="intencion_compra"/>
    <x:tableColumn id="9" name="estado"/>
    <x:tableColumn id="10" name="siguiente_accion"/>
  </x:tableColumns>
  <x:tableStyleInfo name="TableStyleMedium2" showRowStripes="1"/>
</x:table>
</file>

<file path=xl/tables/table8.xml><?xml version="1.0" encoding="utf-8"?>
<x:table xmlns:x="http://schemas.openxmlformats.org/spreadsheetml/2006/main" id="8" name="aforosTable" displayName="aforosTable" ref="A1:I15" headerRowCount="1">
  <x:autoFilter ref="A1:I15"/>
  <x:tableColumns count="9">
    <x:tableColumn id="1" name="id_aforo"/>
    <x:tableColumn id="2" name="fecha_hora"/>
    <x:tableColumn id="3" name="club"/>
    <x:tableColumn id="4" name="zona"/>
    <x:tableColumn id="5" name="tipo_zona"/>
    <x:tableColumn id="6" name="ocupacion_pct"/>
    <x:tableColumn id="7" name="umbral_pct"/>
    <x:tableColumn id="8" name="estado"/>
    <x:tableColumn id="9" name="accion_recomendada"/>
  </x:tableColumns>
  <x:tableStyleInfo name="TableStyleMedium2" showRowStripes="1"/>
</x:table>
</file>

<file path=xl/tables/table9.xml><?xml version="1.0" encoding="utf-8"?>
<x:table xmlns:x="http://schemas.openxmlformats.org/spreadsheetml/2006/main" id="9" name="mantenimientoTable" displayName="mantenimientoTable" ref="A1:I11" headerRowCount="1">
  <x:autoFilter ref="A1:I11"/>
  <x:tableColumns count="9">
    <x:tableColumn id="1" name="id_activo"/>
    <x:tableColumn id="2" name="club"/>
    <x:tableColumn id="3" name="instalacion"/>
    <x:tableColumn id="4" name="horas_uso"/>
    <x:tableColumn id="5" name="umbral_aviso"/>
    <x:tableColumn id="6" name="riesgo_averia"/>
    <x:tableColumn id="7" name="estado"/>
    <x:tableColumn id="8" name="accion"/>
    <x:tableColumn id="9" name="fecha_revision"/>
  </x:tableColumns>
  <x:tableStyleInfo name="TableStyleMedium2" showRowStripes="1"/>
</x:table>
</file>

<file path=xl/tables/table10.xml><?xml version="1.0" encoding="utf-8"?>
<x:table xmlns:x="http://schemas.openxmlformats.org/spreadsheetml/2006/main" id="10" name="tareasTable" displayName="tareasTable" ref="A1:H12" headerRowCount="1">
  <x:autoFilter ref="A1:H12"/>
  <x:tableColumns count="8">
    <x:tableColumn id="1" name="id_tarea"/>
    <x:tableColumn id="2" name="categoria"/>
    <x:tableColumn id="3" name="club"/>
    <x:tableColumn id="4" name="responsable"/>
    <x:tableColumn id="5" name="prioridad"/>
    <x:tableColumn id="6" name="estado"/>
    <x:tableColumn id="7" name="descripcion"/>
    <x:tableColumn id="8" name="fecha_creacion"/>
  </x:tableColumns>
  <x:tableStyleInfo name="TableStyleMedium2" showRowStripes="1"/>
</x:table>
</file>

<file path=xl/tables/table11.xml><?xml version="1.0" encoding="utf-8"?>
<x:table xmlns:x="http://schemas.openxmlformats.org/spreadsheetml/2006/main" id="11" name="agendaimpactoTable" displayName="agendaimpactoTable" ref="A1:J10" headerRowCount="1">
  <x:autoFilter ref="A1:J10"/>
  <x:tableColumns count="10">
    <x:tableColumn id="1" name="fecha"/>
    <x:tableColumn id="2" name="tipo"/>
    <x:tableColumn id="3" name="categoria"/>
    <x:tableColumn id="4" name="club"/>
    <x:tableColumn id="5" name="entidad"/>
    <x:tableColumn id="6" name="importe_estimado"/>
    <x:tableColumn id="7" name="estado"/>
    <x:tableColumn id="8" name="origen"/>
    <x:tableColumn id="9" name="trigger_relacionado"/>
    <x:tableColumn id="10" name="comentari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d0a0b8629ad4bd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9962893da2c4c6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d0a7c2b033a4de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e14877d3d4a419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4410304a59b4fd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0c9c7b2fcbc445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159c7b58403448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784e59b843be42f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5718dadfe8874c0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a73d499555f24198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9d9f4b0b260a4ed6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678636132211430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16.670000076293945" hidden="0" customWidth="1"/>
    <x:col min="3" max="3" width="28.889999389648438" hidden="0" customWidth="1"/>
    <x:col min="4" max="4" width="16.670000076293945" hidden="0" customWidth="1"/>
    <x:col min="6" max="6" width="16.670000076293945" hidden="0" customWidth="1"/>
    <x:col min="7" max="7" width="16.670000076293945" hidden="0" customWidth="1"/>
    <x:col min="10" max="10" width="12.220000267028809" hidden="0" customWidth="1"/>
    <x:col min="11" max="11" width="12.220000267028809" hidden="0" customWidth="1"/>
    <x:col min="12" max="12" width="12.220000267028809" hidden="0" customWidth="1"/>
    <x:col min="14" max="14" width="13.329999923706055" hidden="0" customWidth="1"/>
    <x:col min="15" max="15" width="13.329999923706055" hidden="0" customWidth="1"/>
  </x:cols>
  <x:sheetData>
    <x:row r="1" ht="30" customHeight="1">
      <x:c r="A1" s="15" t="str">
        <x:v>O2 Centro Wellness Intelligence Hub</x:v>
      </x:c>
    </x:row>
    <x:row r="3">
      <x:c r="A3" s="18" t="str">
        <x:v>Dashboard ejecutivo para las necesidades O2: desercion, satisfaccion, puntos de dolor, areas de mejora, habitos de uso y estrategia comercial.</x:v>
      </x:c>
    </x:row>
    <x:row r="4">
      <x:c r="J4" s="10" t="str">
        <x:v>Mes</x:v>
      </x:c>
      <x:c r="K4" s="10" t="str">
        <x:v>Visitas Clara</x:v>
      </x:c>
      <x:c r="L4" s="10" t="str">
        <x:v>Churn score</x:v>
      </x:c>
      <x:c r="M4" s="20"/>
      <x:c r="N4" s="10" t="str">
        <x:v>Tema</x:v>
      </x:c>
      <x:c r="O4" s="10" t="str">
        <x:v>Casos</x:v>
      </x:c>
    </x:row>
    <x:row r="5">
      <x:c r="A5" s="2" t="str">
        <x:v>KPI</x:v>
      </x:c>
      <x:c r="B5" s="2" t="str">
        <x:v>Valor</x:v>
      </x:c>
      <x:c r="C5" s="2" t="str">
        <x:v>Lectura</x:v>
      </x:c>
      <x:c r="D5" s="2" t="str">
        <x:v>Fuente</x:v>
      </x:c>
      <x:c r="F5" s="7" t="str">
        <x:v>Necesidad O2</x:v>
      </x:c>
      <x:c r="G5" s="7" t="str">
        <x:v>Herramienta</x:v>
      </x:c>
      <x:c r="J5" s="20" t="str">
        <x:v>Ene</x:v>
      </x:c>
      <x:c r="K5" s="20" t="n">
        <x:v>11</x:v>
      </x:c>
      <x:c r="L5" s="20" t="n">
        <x:v>18</x:v>
      </x:c>
      <x:c r="M5" s="20"/>
      <x:c r="N5" s="20" t="str">
        <x:v>Spa</x:v>
      </x:c>
      <x:c r="O5" s="20" t="n">
        <x:v>34</x:v>
      </x:c>
    </x:row>
    <x:row r="6">
      <x:c r="A6" s="4" t="str">
        <x:v>Socios muestra</x:v>
      </x:c>
      <x:c r="B6" s="4" t="n">
        <x:f>COUNTA(socios!A2:A500)</x:f>
        <x:v>24</x:v>
      </x:c>
      <x:c r="C6" s="4" t="str">
        <x:v>Socios operativos en workbook demo</x:v>
      </x:c>
      <x:c r="D6" s="4" t="str">
        <x:v>socios</x:v>
      </x:c>
      <x:c r="F6" s="4" t="str">
        <x:v>Prediccion desercion</x:v>
      </x:c>
      <x:c r="G6" s="4" t="str">
        <x:v>Socio 360</x:v>
      </x:c>
      <x:c r="J6" s="20" t="str">
        <x:v>Feb</x:v>
      </x:c>
      <x:c r="K6" s="20" t="n">
        <x:v>10</x:v>
      </x:c>
      <x:c r="L6" s="20" t="n">
        <x:v>22</x:v>
      </x:c>
      <x:c r="M6" s="20"/>
      <x:c r="N6" s="20" t="str">
        <x:v>Vestuarios</x:v>
      </x:c>
      <x:c r="O6" s="20" t="n">
        <x:v>28</x:v>
      </x:c>
    </x:row>
    <x:row r="7">
      <x:c r="A7" s="4" t="str">
        <x:v>Churn medio</x:v>
      </x:c>
      <x:c r="B7" s="4" t="n">
        <x:f>ROUND(AVERAGE(socios!I2:I500),0)</x:f>
        <x:v>46</x:v>
      </x:c>
      <x:c r="C7" s="4" t="str">
        <x:v>Score medio de riesgo</x:v>
      </x:c>
      <x:c r="D7" s="4" t="str">
        <x:v>socios</x:v>
      </x:c>
      <x:c r="F7" s="4" t="str">
        <x:v>Satisfaccion y dolor</x:v>
      </x:c>
      <x:c r="G7" s="4" t="str">
        <x:v>Voz cliente</x:v>
      </x:c>
      <x:c r="J7" s="20" t="str">
        <x:v>Mar</x:v>
      </x:c>
      <x:c r="K7" s="20" t="n">
        <x:v>9</x:v>
      </x:c>
      <x:c r="L7" s="20" t="n">
        <x:v>29</x:v>
      </x:c>
      <x:c r="M7" s="20"/>
      <x:c r="N7" s="20" t="str">
        <x:v>Padel</x:v>
      </x:c>
      <x:c r="O7" s="20" t="n">
        <x:v>19</x:v>
      </x:c>
    </x:row>
    <x:row r="8">
      <x:c r="A8" s="4" t="str">
        <x:v>Feedback critico</x:v>
      </x:c>
      <x:c r="B8" s="4" t="n">
        <x:f>COUNTIF(voz_cliente!F2:F500,"&lt;0")</x:f>
        <x:v>6</x:v>
      </x:c>
      <x:c r="C8" s="4" t="str">
        <x:v>Casos con sentimiento negativo</x:v>
      </x:c>
      <x:c r="D8" s="4" t="str">
        <x:v>voz_cliente</x:v>
      </x:c>
      <x:c r="F8" s="4" t="str">
        <x:v>Areas de mejora</x:v>
      </x:c>
      <x:c r="G8" s="4" t="str">
        <x:v>Temas + tareas</x:v>
      </x:c>
      <x:c r="J8" s="20" t="str">
        <x:v>Abr</x:v>
      </x:c>
      <x:c r="K8" s="20" t="n">
        <x:v>6</x:v>
      </x:c>
      <x:c r="L8" s="20" t="n">
        <x:v>42</x:v>
      </x:c>
      <x:c r="M8" s="20"/>
      <x:c r="N8" s="20" t="str">
        <x:v>Clases</x:v>
      </x:c>
      <x:c r="O8" s="20" t="n">
        <x:v>11</x:v>
      </x:c>
    </x:row>
    <x:row r="9">
      <x:c r="A9" s="4" t="str">
        <x:v>Pipeline probable</x:v>
      </x:c>
      <x:c r="B9" s="19" t="n">
        <x:f>SUMIF(entrevistas_comerciales!H2:H500,"&gt;=80",agenda_impacto!F2:F500)</x:f>
        <x:v>9400</x:v>
      </x:c>
      <x:c r="C9" s="4" t="str">
        <x:v>Suma de oportunidades comerciales</x:v>
      </x:c>
      <x:c r="D9" s="4" t="str">
        <x:v>entrevistas</x:v>
      </x:c>
      <x:c r="F9" s="4" t="str">
        <x:v>Habitos y tendencias</x:v>
      </x:c>
      <x:c r="G9" s="4" t="str">
        <x:v>Radar + aforos</x:v>
      </x:c>
      <x:c r="J9" s="20" t="str">
        <x:v>May</x:v>
      </x:c>
      <x:c r="K9" s="20" t="n">
        <x:v>4</x:v>
      </x:c>
      <x:c r="L9" s="20" t="n">
        <x:v>63</x:v>
      </x:c>
      <x:c r="M9" s="20"/>
      <x:c r="N9" s="20" t="str">
        <x:v>Recepcion</x:v>
      </x:c>
      <x:c r="O9" s="20" t="n">
        <x:v>8</x:v>
      </x:c>
    </x:row>
    <x:row r="10">
      <x:c r="A10" s="4" t="str">
        <x:v>Aforos saturados</x:v>
      </x:c>
      <x:c r="B10" s="4" t="n">
        <x:f>COUNTIF(aforos!H2:H500,"Saturado")</x:f>
        <x:v>4</x:v>
      </x:c>
      <x:c r="C10" s="4" t="str">
        <x:v>Zonas por encima de umbral</x:v>
      </x:c>
      <x:c r="D10" s="4" t="str">
        <x:v>aforos</x:v>
      </x:c>
      <x:c r="F10" s="4" t="str">
        <x:v>Estrategia comercial</x:v>
      </x:c>
      <x:c r="G10" s="4" t="str">
        <x:v>Funnel + objeciones</x:v>
      </x:c>
      <x:c r="J10" s="20" t="str">
        <x:v>Jun</x:v>
      </x:c>
      <x:c r="K10" s="20" t="n">
        <x:v>3</x:v>
      </x:c>
      <x:c r="L10" s="20" t="n">
        <x:v>79</x:v>
      </x:c>
      <x:c r="M10" s="20"/>
      <x:c r="N10" s="20"/>
      <x:c r="O10" s="20"/>
    </x:row>
    <x:row r="11">
      <x:c r="A11" s="4" t="str">
        <x:v>Riesgo mantenimiento</x:v>
      </x:c>
      <x:c r="B11" s="4" t="n">
        <x:f>COUNTIF(mantenimiento!F2:F500,"&gt;=70")</x:f>
        <x:v>5</x:v>
      </x:c>
      <x:c r="C11" s="4" t="str">
        <x:v>Activos con riesgo &gt;=70</x:v>
      </x:c>
      <x:c r="D11" s="4" t="str">
        <x:v>mantenimiento</x:v>
      </x:c>
    </x:row>
    <x:row r="12">
      <x:c r="A12" s="4" t="str">
        <x:v>Necesidades O2</x:v>
      </x:c>
      <x:c r="B12" s="4" t="n">
        <x:f>COUNTA(necesidades_o2!A2:A500)</x:f>
        <x:v>5</x:v>
      </x:c>
      <x:c r="C12" s="4" t="str">
        <x:v>Bloques pedidos por O2 cubiertos</x:v>
      </x:c>
      <x:c r="D12" s="4" t="str">
        <x:v>necesidades_o2</x:v>
      </x:c>
    </x:row>
  </x:sheetData>
  <x:mergeCells>
    <x:mergeCell ref="A1:H1"/>
    <x:mergeCell ref="A3:H3"/>
  </x:mergeCells>
  <x:pageMargins left="0.7" right="0.7" top="0.75" bottom="0.75" header="0.3" footer="0.3"/>
  <x:drawing xmlns:r="http://schemas.openxmlformats.org/officeDocument/2006/relationships" r:id="R4d0a0b8629ad4bd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2.220000267028809" hidden="0" customWidth="1"/>
    <x:col min="3" max="3" width="20.110000610351562" hidden="0" customWidth="1"/>
    <x:col min="4" max="4" width="14.779999732971191" hidden="0" customWidth="1"/>
    <x:col min="5" max="5" width="9" hidden="0" customWidth="1"/>
    <x:col min="6" max="6" width="10.5600004196167" hidden="0" customWidth="1"/>
    <x:col min="7" max="7" width="12.329999923706055" hidden="0" customWidth="1"/>
    <x:col min="8" max="8" width="16.440000534057617" hidden="0" customWidth="1"/>
    <x:col min="9" max="9" width="10.109999656677246" hidden="0" customWidth="1"/>
    <x:col min="10" max="10" width="10.329999923706055" hidden="0" customWidth="1"/>
    <x:col min="11" max="11" width="15.220000267028809" hidden="0" customWidth="1"/>
    <x:col min="12" max="12" width="33.88999938964844" hidden="0" customWidth="1"/>
  </x:cols>
  <x:sheetData>
    <x:row r="1">
      <x:c r="A1" s="3" t="str">
        <x:v>id_socio</x:v>
      </x:c>
      <x:c r="B1" s="3" t="str">
        <x:v>nombre</x:v>
      </x:c>
      <x:c r="C1" s="3" t="str">
        <x:v>club</x:v>
      </x:c>
      <x:c r="D1" s="3" t="str">
        <x:v>plan</x:v>
      </x:c>
      <x:c r="E1" s="3" t="str">
        <x:v>fecha_alta</x:v>
      </x:c>
      <x:c r="F1" s="3" t="str">
        <x:v>estado</x:v>
      </x:c>
      <x:c r="G1" s="3" t="str">
        <x:v>frecuencia_30d</x:v>
      </x:c>
      <x:c r="H1" s="3" t="str">
        <x:v>frecuencia_prev_30d</x:v>
      </x:c>
      <x:c r="I1" s="3" t="str">
        <x:v>churn_score</x:v>
      </x:c>
      <x:c r="J1" s="3" t="str">
        <x:v>ltv_estimado</x:v>
      </x:c>
      <x:c r="K1" s="3" t="str">
        <x:v>programa</x:v>
      </x:c>
      <x:c r="L1" s="3" t="str">
        <x:v>accion_recomendada</x:v>
      </x:c>
    </x:row>
    <x:row r="2">
      <x:c r="A2" s="5" t="str">
        <x:v>S-1748</x:v>
      </x:c>
      <x:c r="B2" s="5" t="str">
        <x:v>Clara Valera</x:v>
      </x:c>
      <x:c r="C2" s="5" t="str">
        <x:v>O2CW Manuel Becerra</x:v>
      </x:c>
      <x:c r="D2" s="5" t="str">
        <x:v>Well Living Plus</x:v>
      </x:c>
      <x:c r="E2" s="5" t="str">
        <x:v>2025-09-17</x:v>
      </x:c>
      <x:c r="F2" s="5" t="str">
        <x:v>Riesgo alto</x:v>
      </x:c>
      <x:c r="G2" s="5" t="n">
        <x:v>3</x:v>
      </x:c>
      <x:c r="H2" s="5" t="n">
        <x:v>11</x:v>
      </x:c>
      <x:c r="I2" s="5" t="n">
        <x:v>79</x:v>
      </x:c>
      <x:c r="J2" s="5" t="n">
        <x:v>3240</x:v>
      </x:c>
      <x:c r="K2" s="5" t="str">
        <x:v>Spa + fuerza</x:v>
      </x:c>
      <x:c r="L2" s="5" t="str">
        <x:v>Llamada + invitacion spa en franja valle</x:v>
      </x:c>
    </x:row>
    <x:row r="3">
      <x:c r="A3" s="5" t="str">
        <x:v>S-0832</x:v>
      </x:c>
      <x:c r="B3" s="5" t="str">
        <x:v>Javier Anton</x:v>
      </x:c>
      <x:c r="C3" s="5" t="str">
        <x:v>O2CW Granada</x:v>
      </x:c>
      <x:c r="D3" s="5" t="str">
        <x:v>Family Wellness</x:v>
      </x:c>
      <x:c r="E3" s="5" t="str">
        <x:v>2025-03-02</x:v>
      </x:c>
      <x:c r="F3" s="5" t="str">
        <x:v>Riesgo medio</x:v>
      </x:c>
      <x:c r="G3" s="5" t="n">
        <x:v>5</x:v>
      </x:c>
      <x:c r="H3" s="5" t="n">
        <x:v>8</x:v>
      </x:c>
      <x:c r="I3" s="5" t="n">
        <x:v>62</x:v>
      </x:c>
      <x:c r="J3" s="5" t="n">
        <x:v>2860</x:v>
      </x:c>
      <x:c r="K3" s="5" t="str">
        <x:v>Padel + nutricion</x:v>
      </x:c>
      <x:c r="L3" s="5" t="str">
        <x:v>Oferta pack padel + seguimiento nutricion</x:v>
      </x:c>
    </x:row>
    <x:row r="4">
      <x:c r="A4" s="5" t="str">
        <x:v>S-2214</x:v>
      </x:c>
      <x:c r="B4" s="5" t="str">
        <x:v>Marta Roca</x:v>
      </x:c>
      <x:c r="C4" s="5" t="str">
        <x:v>O2CW Boutique Barcelona</x:v>
      </x:c>
      <x:c r="D4" s="5" t="str">
        <x:v>Boutique Women</x:v>
      </x:c>
      <x:c r="E4" s="5" t="str">
        <x:v>2026-01-14</x:v>
      </x:c>
      <x:c r="F4" s="5" t="str">
        <x:v>Activo</x:v>
      </x:c>
      <x:c r="G4" s="5" t="n">
        <x:v>13</x:v>
      </x:c>
      <x:c r="H4" s="5" t="n">
        <x:v>12</x:v>
      </x:c>
      <x:c r="I4" s="5" t="n">
        <x:v>31</x:v>
      </x:c>
      <x:c r="J4" s="5" t="n">
        <x:v>1980</x:v>
      </x:c>
      <x:c r="K4" s="5" t="str">
        <x:v>Body&amp;Soul</x:v>
      </x:c>
      <x:c r="L4" s="5" t="str">
        <x:v>Mantener recomendacion Zone Her</x:v>
      </x:c>
    </x:row>
    <x:row r="5">
      <x:c r="A5" s="5" t="str">
        <x:v>S-1905</x:v>
      </x:c>
      <x:c r="B5" s="5" t="str">
        <x:v>David Llorente</x:v>
      </x:c>
      <x:c r="C5" s="5" t="str">
        <x:v>O2CW Malaga</x:v>
      </x:c>
      <x:c r="D5" s="5" t="str">
        <x:v>Well Living</x:v>
      </x:c>
      <x:c r="E5" s="5" t="str">
        <x:v>2024-11-22</x:v>
      </x:c>
      <x:c r="F5" s="5" t="str">
        <x:v>Activo</x:v>
      </x:c>
      <x:c r="G5" s="5" t="n">
        <x:v>9</x:v>
      </x:c>
      <x:c r="H5" s="5" t="n">
        <x:v>8</x:v>
      </x:c>
      <x:c r="I5" s="5" t="n">
        <x:v>28</x:v>
      </x:c>
      <x:c r="J5" s="5" t="n">
        <x:v>2140</x:v>
      </x:c>
      <x:c r="K5" s="5" t="str">
        <x:v>Piscina</x:v>
      </x:c>
      <x:c r="L5" s="5" t="str">
        <x:v>Rutina piscina + fuerza</x:v>
      </x:c>
    </x:row>
    <x:row r="6">
      <x:c r="A6" s="5" t="str">
        <x:v>S-1511</x:v>
      </x:c>
      <x:c r="B6" s="5" t="str">
        <x:v>Paula Gomez</x:v>
      </x:c>
      <x:c r="C6" s="5" t="str">
        <x:v>O2CW Huelva</x:v>
      </x:c>
      <x:c r="D6" s="5" t="str">
        <x:v>Well Living</x:v>
      </x:c>
      <x:c r="E6" s="5" t="str">
        <x:v>2025-07-04</x:v>
      </x:c>
      <x:c r="F6" s="5" t="str">
        <x:v>Activo</x:v>
      </x:c>
      <x:c r="G6" s="5" t="n">
        <x:v>7</x:v>
      </x:c>
      <x:c r="H6" s="5" t="n">
        <x:v>6</x:v>
      </x:c>
      <x:c r="I6" s="5" t="n">
        <x:v>35</x:v>
      </x:c>
      <x:c r="J6" s="5" t="n">
        <x:v>1760</x:v>
      </x:c>
      <x:c r="K6" s="5" t="str">
        <x:v>Fisio</x:v>
      </x:c>
      <x:c r="L6" s="5" t="str">
        <x:v>Check preventivo fisio</x:v>
      </x:c>
    </x:row>
    <x:row r="7">
      <x:c r="A7" s="5" t="str">
        <x:v>S-2602</x:v>
      </x:c>
      <x:c r="B7" s="5" t="str">
        <x:v>Lucia Marin</x:v>
      </x:c>
      <x:c r="C7" s="5" t="str">
        <x:v>O2CW Malaga</x:v>
      </x:c>
      <x:c r="D7" s="5" t="str">
        <x:v>Well Living Plus</x:v>
      </x:c>
      <x:c r="E7" s="5" t="str">
        <x:v>2025-02-11</x:v>
      </x:c>
      <x:c r="F7" s="5" t="str">
        <x:v>Riesgo alto</x:v>
      </x:c>
      <x:c r="G7" s="5" t="n">
        <x:v>4</x:v>
      </x:c>
      <x:c r="H7" s="5" t="n">
        <x:v>12</x:v>
      </x:c>
      <x:c r="I7" s="5" t="n">
        <x:v>74</x:v>
      </x:c>
      <x:c r="J7" s="5" t="n">
        <x:v>3560</x:v>
      </x:c>
      <x:c r="K7" s="5" t="str">
        <x:v>Recovery + piscina</x:v>
      </x:c>
      <x:c r="L7" s="5" t="str">
        <x:v>Sesion recovery + rutina piscina</x:v>
      </x:c>
    </x:row>
    <x:row r="8">
      <x:c r="A8" s="5" t="str">
        <x:v>S-1189</x:v>
      </x:c>
      <x:c r="B8" s="5" t="str">
        <x:v>Oscar Vidal</x:v>
      </x:c>
      <x:c r="C8" s="5" t="str">
        <x:v>O2CW Sexta Avenida</x:v>
      </x:c>
      <x:c r="D8" s="5" t="str">
        <x:v>Corporate Wellness</x:v>
      </x:c>
      <x:c r="E8" s="5" t="str">
        <x:v>2024-10-04</x:v>
      </x:c>
      <x:c r="F8" s="5" t="str">
        <x:v>Riesgo medio</x:v>
      </x:c>
      <x:c r="G8" s="5" t="n">
        <x:v>6</x:v>
      </x:c>
      <x:c r="H8" s="5" t="n">
        <x:v>9</x:v>
      </x:c>
      <x:c r="I8" s="5" t="n">
        <x:v>57</x:v>
      </x:c>
      <x:c r="J8" s="5" t="n">
        <x:v>4120</x:v>
      </x:c>
      <x:c r="K8" s="5" t="str">
        <x:v>ZONE + fuerza</x:v>
      </x:c>
      <x:c r="L8" s="5" t="str">
        <x:v>Reactivar con ZONE horario ejecutivo</x:v>
      </x:c>
    </x:row>
    <x:row r="9">
      <x:c r="A9" s="5" t="str">
        <x:v>S-3077</x:v>
      </x:c>
      <x:c r="B9" s="5" t="str">
        <x:v>Ainhoa Perez</x:v>
      </x:c>
      <x:c r="C9" s="5" t="str">
        <x:v>O2CW Parc del Migdia</x:v>
      </x:c>
      <x:c r="D9" s="5" t="str">
        <x:v>Family Wellness</x:v>
      </x:c>
      <x:c r="E9" s="5" t="str">
        <x:v>2025-06-18</x:v>
      </x:c>
      <x:c r="F9" s="5" t="str">
        <x:v>Activo</x:v>
      </x:c>
      <x:c r="G9" s="5" t="n">
        <x:v>15</x:v>
      </x:c>
      <x:c r="H9" s="5" t="n">
        <x:v>14</x:v>
      </x:c>
      <x:c r="I9" s="5" t="n">
        <x:v>24</x:v>
      </x:c>
      <x:c r="J9" s="5" t="n">
        <x:v>2680</x:v>
      </x:c>
      <x:c r="K9" s="5" t="str">
        <x:v>Aqua + retos SoyO2</x:v>
      </x:c>
      <x:c r="L9" s="5" t="str">
        <x:v>Invitar a reto SoyO2 familiar</x:v>
      </x:c>
    </x:row>
    <x:row r="10">
      <x:c r="A10" s="5" t="str">
        <x:v>S-2334</x:v>
      </x:c>
      <x:c r="B10" s="5" t="str">
        <x:v>Rafael Torres</x:v>
      </x:c>
      <x:c r="C10" s="5" t="str">
        <x:v>O2CW Huelva</x:v>
      </x:c>
      <x:c r="D10" s="5" t="str">
        <x:v>Well Living</x:v>
      </x:c>
      <x:c r="E10" s="5" t="str">
        <x:v>2025-01-29</x:v>
      </x:c>
      <x:c r="F10" s="5" t="str">
        <x:v>Riesgo alto</x:v>
      </x:c>
      <x:c r="G10" s="5" t="n">
        <x:v>2</x:v>
      </x:c>
      <x:c r="H10" s="5" t="n">
        <x:v>7</x:v>
      </x:c>
      <x:c r="I10" s="5" t="n">
        <x:v>71</x:v>
      </x:c>
      <x:c r="J10" s="5" t="n">
        <x:v>1840</x:v>
      </x:c>
      <x:c r="K10" s="5" t="str">
        <x:v>Fisio espalda</x:v>
      </x:c>
      <x:c r="L10" s="5" t="str">
        <x:v>Llamada retorno + plan espalda</x:v>
      </x:c>
    </x:row>
    <x:row r="11">
      <x:c r="A11" s="5" t="str">
        <x:v>S-2718</x:v>
      </x:c>
      <x:c r="B11" s="5" t="str">
        <x:v>Marina Soler</x:v>
      </x:c>
      <x:c r="C11" s="5" t="str">
        <x:v>O2CW Boutique Girona</x:v>
      </x:c>
      <x:c r="D11" s="5" t="str">
        <x:v>Boutique Women</x:v>
      </x:c>
      <x:c r="E11" s="5" t="str">
        <x:v>2025-12-03</x:v>
      </x:c>
      <x:c r="F11" s="5" t="str">
        <x:v>Activo</x:v>
      </x:c>
      <x:c r="G11" s="5" t="n">
        <x:v>11</x:v>
      </x:c>
      <x:c r="H11" s="5" t="n">
        <x:v>10</x:v>
      </x:c>
      <x:c r="I11" s="5" t="n">
        <x:v>29</x:v>
      </x:c>
      <x:c r="J11" s="5" t="n">
        <x:v>2260</x:v>
      </x:c>
      <x:c r="K11" s="5" t="str">
        <x:v>Yoga + sauna</x:v>
      </x:c>
      <x:c r="L11" s="5" t="str">
        <x:v>Recomendar Pilates Reformer</x:v>
      </x:c>
    </x:row>
    <x:row r="12">
      <x:c r="A12" s="5" t="str">
        <x:v>S-3092</x:v>
      </x:c>
      <x:c r="B12" s="5" t="str">
        <x:v>Teresa Navarro</x:v>
      </x:c>
      <x:c r="C12" s="5" t="str">
        <x:v>O2CW Boutique Madrid</x:v>
      </x:c>
      <x:c r="D12" s="5" t="str">
        <x:v>Boutique Premium</x:v>
      </x:c>
      <x:c r="E12" s="5" t="str">
        <x:v>2025-08-14</x:v>
      </x:c>
      <x:c r="F12" s="5" t="str">
        <x:v>Riesgo medio</x:v>
      </x:c>
      <x:c r="G12" s="5" t="n">
        <x:v>7</x:v>
      </x:c>
      <x:c r="H12" s="5" t="n">
        <x:v>11</x:v>
      </x:c>
      <x:c r="I12" s="5" t="n">
        <x:v>54</x:v>
      </x:c>
      <x:c r="J12" s="5" t="n">
        <x:v>3020</x:v>
      </x:c>
      <x:c r="K12" s="5" t="str">
        <x:v>Bodymind</x:v>
      </x:c>
      <x:c r="L12" s="5" t="str">
        <x:v>Ajustar agenda de clases</x:v>
      </x:c>
    </x:row>
    <x:row r="13">
      <x:c r="A13" s="5" t="str">
        <x:v>S-3201</x:v>
      </x:c>
      <x:c r="B13" s="5" t="str">
        <x:v>Hugo Salas</x:v>
      </x:c>
      <x:c r="C13" s="5" t="str">
        <x:v>O2CW Granada</x:v>
      </x:c>
      <x:c r="D13" s="5" t="str">
        <x:v>Padel &amp; Wellness</x:v>
      </x:c>
      <x:c r="E13" s="5" t="str">
        <x:v>2025-04-20</x:v>
      </x:c>
      <x:c r="F13" s="5" t="str">
        <x:v>Riesgo medio</x:v>
      </x:c>
      <x:c r="G13" s="5" t="n">
        <x:v>8</x:v>
      </x:c>
      <x:c r="H13" s="5" t="n">
        <x:v>13</x:v>
      </x:c>
      <x:c r="I13" s="5" t="n">
        <x:v>59</x:v>
      </x:c>
      <x:c r="J13" s="5" t="n">
        <x:v>2440</x:v>
      </x:c>
      <x:c r="K13" s="5" t="str">
        <x:v>Padel + spa</x:v>
      </x:c>
      <x:c r="L13" s="5" t="str">
        <x:v>Ofrecer huecos fuera de pico</x:v>
      </x:c>
    </x:row>
    <x:row r="14">
      <x:c r="A14" s="5" t="str">
        <x:v>S-3380</x:v>
      </x:c>
      <x:c r="B14" s="5" t="str">
        <x:v>Noelia Castro</x:v>
      </x:c>
      <x:c r="C14" s="5" t="str">
        <x:v>O2CW Manuel Becerra</x:v>
      </x:c>
      <x:c r="D14" s="5" t="str">
        <x:v>Well Living</x:v>
      </x:c>
      <x:c r="E14" s="5" t="str">
        <x:v>2025-11-08</x:v>
      </x:c>
      <x:c r="F14" s="5" t="str">
        <x:v>Activo</x:v>
      </x:c>
      <x:c r="G14" s="5" t="n">
        <x:v>10</x:v>
      </x:c>
      <x:c r="H14" s="5" t="n">
        <x:v>9</x:v>
      </x:c>
      <x:c r="I14" s="5" t="n">
        <x:v>33</x:v>
      </x:c>
      <x:c r="J14" s="5" t="n">
        <x:v>2050</x:v>
      </x:c>
      <x:c r="K14" s="5" t="str">
        <x:v>ZONE</x:v>
      </x:c>
      <x:c r="L14" s="5" t="str">
        <x:v>Recomendar reto ZONE Games</x:v>
      </x:c>
    </x:row>
    <x:row r="15">
      <x:c r="A15" s="5" t="str">
        <x:v>S-3521</x:v>
      </x:c>
      <x:c r="B15" s="5" t="str">
        <x:v>Bruno Escudero</x:v>
      </x:c>
      <x:c r="C15" s="5" t="str">
        <x:v>O2CW Sexta Avenida</x:v>
      </x:c>
      <x:c r="D15" s="5" t="str">
        <x:v>Family Wellness</x:v>
      </x:c>
      <x:c r="E15" s="5" t="str">
        <x:v>2024-12-12</x:v>
      </x:c>
      <x:c r="F15" s="5" t="str">
        <x:v>Riesgo alto</x:v>
      </x:c>
      <x:c r="G15" s="5" t="n">
        <x:v>3</x:v>
      </x:c>
      <x:c r="H15" s="5" t="n">
        <x:v>10</x:v>
      </x:c>
      <x:c r="I15" s="5" t="n">
        <x:v>76</x:v>
      </x:c>
      <x:c r="J15" s="5" t="n">
        <x:v>3980</x:v>
      </x:c>
      <x:c r="K15" s="5" t="str">
        <x:v>Natacion familiar</x:v>
      </x:c>
      <x:c r="L15" s="5" t="str">
        <x:v>Reunion familiar + plan natacion infantil</x:v>
      </x:c>
    </x:row>
    <x:row r="16">
      <x:c r="A16" s="5" t="str">
        <x:v>S-3604</x:v>
      </x:c>
      <x:c r="B16" s="5" t="str">
        <x:v>Irene Costa</x:v>
      </x:c>
      <x:c r="C16" s="5" t="str">
        <x:v>O2CW Malaga</x:v>
      </x:c>
      <x:c r="D16" s="5" t="str">
        <x:v>Recovery Plus</x:v>
      </x:c>
      <x:c r="E16" s="5" t="str">
        <x:v>2025-05-07</x:v>
      </x:c>
      <x:c r="F16" s="5" t="str">
        <x:v>Activo</x:v>
      </x:c>
      <x:c r="G16" s="5" t="n">
        <x:v>12</x:v>
      </x:c>
      <x:c r="H16" s="5" t="n">
        <x:v>11</x:v>
      </x:c>
      <x:c r="I16" s="5" t="n">
        <x:v>27</x:v>
      </x:c>
      <x:c r="J16" s="5" t="n">
        <x:v>3180</x:v>
      </x:c>
      <x:c r="K16" s="5" t="str">
        <x:v>Recovery + fisio</x:v>
      </x:c>
      <x:c r="L16" s="5" t="str">
        <x:v>Mantener seguimiento fisio</x:v>
      </x:c>
    </x:row>
    <x:row r="17">
      <x:c r="A17" s="5" t="str">
        <x:v>S-3742</x:v>
      </x:c>
      <x:c r="B17" s="5" t="str">
        <x:v>Mateo Puig</x:v>
      </x:c>
      <x:c r="C17" s="5" t="str">
        <x:v>O2CW Parc del Migdia</x:v>
      </x:c>
      <x:c r="D17" s="5" t="str">
        <x:v>Well Living</x:v>
      </x:c>
      <x:c r="E17" s="5" t="str">
        <x:v>2025-09-01</x:v>
      </x:c>
      <x:c r="F17" s="5" t="str">
        <x:v>Riesgo medio</x:v>
      </x:c>
      <x:c r="G17" s="5" t="n">
        <x:v>6</x:v>
      </x:c>
      <x:c r="H17" s="5" t="n">
        <x:v>10</x:v>
      </x:c>
      <x:c r="I17" s="5" t="n">
        <x:v>52</x:v>
      </x:c>
      <x:c r="J17" s="5" t="n">
        <x:v>1920</x:v>
      </x:c>
      <x:c r="K17" s="5" t="str">
        <x:v>Outdoor</x:v>
      </x:c>
      <x:c r="L17" s="5" t="str">
        <x:v>Reactivar con grupo running</x:v>
      </x:c>
    </x:row>
    <x:row r="18">
      <x:c r="A18" s="5" t="str">
        <x:v>S-3888</x:v>
      </x:c>
      <x:c r="B18" s="5" t="str">
        <x:v>Carla Benitez</x:v>
      </x:c>
      <x:c r="C18" s="5" t="str">
        <x:v>O2CW Huelva</x:v>
      </x:c>
      <x:c r="D18" s="5" t="str">
        <x:v>Aqua Wellness</x:v>
      </x:c>
      <x:c r="E18" s="5" t="str">
        <x:v>2026-02-03</x:v>
      </x:c>
      <x:c r="F18" s="5" t="str">
        <x:v>Activo</x:v>
      </x:c>
      <x:c r="G18" s="5" t="n">
        <x:v>14</x:v>
      </x:c>
      <x:c r="H18" s="5" t="n">
        <x:v>13</x:v>
      </x:c>
      <x:c r="I18" s="5" t="n">
        <x:v>22</x:v>
      </x:c>
      <x:c r="J18" s="5" t="n">
        <x:v>2160</x:v>
      </x:c>
      <x:c r="K18" s="5" t="str">
        <x:v>Natacion</x:v>
      </x:c>
      <x:c r="L18" s="5" t="str">
        <x:v>Invitar a masterclass Aquawellness</x:v>
      </x:c>
    </x:row>
    <x:row r="19">
      <x:c r="A19" s="5" t="str">
        <x:v>S-4011</x:v>
      </x:c>
      <x:c r="B19" s="5" t="str">
        <x:v>Valentina Rius</x:v>
      </x:c>
      <x:c r="C19" s="5" t="str">
        <x:v>O2CW Boutique Barcelona</x:v>
      </x:c>
      <x:c r="D19" s="5" t="str">
        <x:v>Boutique Premium</x:v>
      </x:c>
      <x:c r="E19" s="5" t="str">
        <x:v>2025-10-09</x:v>
      </x:c>
      <x:c r="F19" s="5" t="str">
        <x:v>Activo</x:v>
      </x:c>
      <x:c r="G19" s="5" t="n">
        <x:v>12</x:v>
      </x:c>
      <x:c r="H19" s="5" t="n">
        <x:v>12</x:v>
      </x:c>
      <x:c r="I19" s="5" t="n">
        <x:v>26</x:v>
      </x:c>
      <x:c r="J19" s="5" t="n">
        <x:v>2860</x:v>
      </x:c>
      <x:c r="K19" s="5" t="str">
        <x:v>Body&amp;Soul + sauna</x:v>
      </x:c>
      <x:c r="L19" s="5" t="str">
        <x:v>Recomendar masterclass Body&amp;Soul</x:v>
      </x:c>
    </x:row>
    <x:row r="20">
      <x:c r="A20" s="5" t="str">
        <x:v>S-4056</x:v>
      </x:c>
      <x:c r="B20" s="5" t="str">
        <x:v>Andres Molina</x:v>
      </x:c>
      <x:c r="C20" s="5" t="str">
        <x:v>O2CW Manuel Becerra</x:v>
      </x:c>
      <x:c r="D20" s="5" t="str">
        <x:v>Well Living Plus</x:v>
      </x:c>
      <x:c r="E20" s="5" t="str">
        <x:v>2025-07-19</x:v>
      </x:c>
      <x:c r="F20" s="5" t="str">
        <x:v>Riesgo medio</x:v>
      </x:c>
      <x:c r="G20" s="5" t="n">
        <x:v>5</x:v>
      </x:c>
      <x:c r="H20" s="5" t="n">
        <x:v>9</x:v>
      </x:c>
      <x:c r="I20" s="5" t="n">
        <x:v>61</x:v>
      </x:c>
      <x:c r="J20" s="5" t="n">
        <x:v>3340</x:v>
      </x:c>
      <x:c r="K20" s="5" t="str">
        <x:v>Fuerza</x:v>
      </x:c>
      <x:c r="L20" s="5" t="str">
        <x:v>Plan fuerza 3 semanas + recordatorios SoyO2</x:v>
      </x:c>
    </x:row>
    <x:row r="21">
      <x:c r="A21" s="5" t="str">
        <x:v>S-4080</x:v>
      </x:c>
      <x:c r="B21" s="5" t="str">
        <x:v>Monica Vega</x:v>
      </x:c>
      <x:c r="C21" s="5" t="str">
        <x:v>O2CW Sexta Avenida</x:v>
      </x:c>
      <x:c r="D21" s="5" t="str">
        <x:v>Corporate Wellness</x:v>
      </x:c>
      <x:c r="E21" s="5" t="str">
        <x:v>2025-01-16</x:v>
      </x:c>
      <x:c r="F21" s="5" t="str">
        <x:v>Activo</x:v>
      </x:c>
      <x:c r="G21" s="5" t="n">
        <x:v>9</x:v>
      </x:c>
      <x:c r="H21" s="5" t="n">
        <x:v>8</x:v>
      </x:c>
      <x:c r="I21" s="5" t="n">
        <x:v>30</x:v>
      </x:c>
      <x:c r="J21" s="5" t="n">
        <x:v>3720</x:v>
      </x:c>
      <x:c r="K21" s="5" t="str">
        <x:v>Corporate + ZONE</x:v>
      </x:c>
      <x:c r="L21" s="5" t="str">
        <x:v>Invitar a evento corporate wellness</x:v>
      </x:c>
    </x:row>
    <x:row r="22">
      <x:c r="A22" s="5" t="str">
        <x:v>S-4122</x:v>
      </x:c>
      <x:c r="B22" s="5" t="str">
        <x:v>Diego Ramos</x:v>
      </x:c>
      <x:c r="C22" s="5" t="str">
        <x:v>O2CW Granada</x:v>
      </x:c>
      <x:c r="D22" s="5" t="str">
        <x:v>Padel &amp; Wellness</x:v>
      </x:c>
      <x:c r="E22" s="5" t="str">
        <x:v>2025-06-02</x:v>
      </x:c>
      <x:c r="F22" s="5" t="str">
        <x:v>Riesgo alto</x:v>
      </x:c>
      <x:c r="G22" s="5" t="n">
        <x:v>3</x:v>
      </x:c>
      <x:c r="H22" s="5" t="n">
        <x:v>12</x:v>
      </x:c>
      <x:c r="I22" s="5" t="n">
        <x:v>73</x:v>
      </x:c>
      <x:c r="J22" s="5" t="n">
        <x:v>2580</x:v>
      </x:c>
      <x:c r="K22" s="5" t="str">
        <x:v>Padel</x:v>
      </x:c>
      <x:c r="L22" s="5" t="str">
        <x:v>Resolver reservas fallidas y liga interna</x:v>
      </x:c>
    </x:row>
    <x:row r="23">
      <x:c r="A23" s="5" t="str">
        <x:v>S-4190</x:v>
      </x:c>
      <x:c r="B23" s="5" t="str">
        <x:v>Elena Prieto</x:v>
      </x:c>
      <x:c r="C23" s="5" t="str">
        <x:v>O2CW Parc del Migdia</x:v>
      </x:c>
      <x:c r="D23" s="5" t="str">
        <x:v>Outdoor &amp; Aqua</x:v>
      </x:c>
      <x:c r="E23" s="5" t="str">
        <x:v>2025-04-12</x:v>
      </x:c>
      <x:c r="F23" s="5" t="str">
        <x:v>Activo</x:v>
      </x:c>
      <x:c r="G23" s="5" t="n">
        <x:v>11</x:v>
      </x:c>
      <x:c r="H23" s="5" t="n">
        <x:v>10</x:v>
      </x:c>
      <x:c r="I23" s="5" t="n">
        <x:v>28</x:v>
      </x:c>
      <x:c r="J23" s="5" t="n">
        <x:v>2040</x:v>
      </x:c>
      <x:c r="K23" s="5" t="str">
        <x:v>Outdoor + aqua</x:v>
      </x:c>
      <x:c r="L23" s="5" t="str">
        <x:v>Recomendar running club + Aqua yoga</x:v>
      </x:c>
    </x:row>
    <x:row r="24">
      <x:c r="A24" s="5" t="str">
        <x:v>S-4255</x:v>
      </x:c>
      <x:c r="B24" s="5" t="str">
        <x:v>Carmen Ruiz</x:v>
      </x:c>
      <x:c r="C24" s="5" t="str">
        <x:v>O2CW Malaga</x:v>
      </x:c>
      <x:c r="D24" s="5" t="str">
        <x:v>Recovery Plus</x:v>
      </x:c>
      <x:c r="E24" s="5" t="str">
        <x:v>2024-12-01</x:v>
      </x:c>
      <x:c r="F24" s="5" t="str">
        <x:v>Riesgo medio</x:v>
      </x:c>
      <x:c r="G24" s="5" t="n">
        <x:v>6</x:v>
      </x:c>
      <x:c r="H24" s="5" t="n">
        <x:v>9</x:v>
      </x:c>
      <x:c r="I24" s="5" t="n">
        <x:v>56</x:v>
      </x:c>
      <x:c r="J24" s="5" t="n">
        <x:v>3460</x:v>
      </x:c>
      <x:c r="K24" s="5" t="str">
        <x:v>Recovery + fisio</x:v>
      </x:c>
      <x:c r="L24" s="5" t="str">
        <x:v>Check recuperacion y seguimiento fisio</x:v>
      </x:c>
    </x:row>
    <x:row r="25">
      <x:c r="A25" s="5" t="str">
        <x:v>S-4310</x:v>
      </x:c>
      <x:c r="B25" s="5" t="str">
        <x:v>Nicolas Serra</x:v>
      </x:c>
      <x:c r="C25" s="5" t="str">
        <x:v>O2CW Boutique Madrid</x:v>
      </x:c>
      <x:c r="D25" s="5" t="str">
        <x:v>Boutique Premium</x:v>
      </x:c>
      <x:c r="E25" s="5" t="str">
        <x:v>2026-01-28</x:v>
      </x:c>
      <x:c r="F25" s="5" t="str">
        <x:v>Activo</x:v>
      </x:c>
      <x:c r="G25" s="5" t="n">
        <x:v>16</x:v>
      </x:c>
      <x:c r="H25" s="5" t="n">
        <x:v>15</x:v>
      </x:c>
      <x:c r="I25" s="5" t="n">
        <x:v>21</x:v>
      </x:c>
      <x:c r="J25" s="5" t="n">
        <x:v>2940</x:v>
      </x:c>
      <x:c r="K25" s="5" t="str">
        <x:v>HIIT boutique</x:v>
      </x:c>
      <x:c r="L25" s="5" t="str">
        <x:v>Mantener recomendacion HIIT boutique</x:v>
      </x:c>
    </x:row>
  </x:sheetData>
  <x:pageMargins left="0.7" right="0.7" top="0.75" bottom="0.75" header="0.3" footer="0.3"/>
  <x:tableParts count="1">
    <x:tablePart xmlns:r="http://schemas.openxmlformats.org/officeDocument/2006/relationships" r:id="R09962893da2c4c6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890000343322754" hidden="0" customWidth="1"/>
    <x:col min="2" max="2" width="9" hidden="0" customWidth="1"/>
    <x:col min="3" max="3" width="15.329999923706055" hidden="0" customWidth="1"/>
    <x:col min="4" max="4" width="18" hidden="0" customWidth="1"/>
    <x:col min="5" max="5" width="8.670000076293945" hidden="0" customWidth="1"/>
    <x:col min="6" max="6" width="9.670000076293945" hidden="0" customWidth="1"/>
    <x:col min="7" max="7" width="14.670000076293945" hidden="0" customWidth="1"/>
    <x:col min="8" max="8" width="7.559999942779541" hidden="0" customWidth="1"/>
    <x:col min="9" max="9" width="9.4399995803833" hidden="0" customWidth="1"/>
    <x:col min="10" max="10" width="54.560001373291016" hidden="0" customWidth="1"/>
    <x:col min="11" max="11" width="38.33000183105469" hidden="0" customWidth="1"/>
  </x:cols>
  <x:sheetData>
    <x:row r="1">
      <x:c r="A1" s="8" t="str">
        <x:v>id_feedback</x:v>
      </x:c>
      <x:c r="B1" s="8" t="str">
        <x:v>fecha</x:v>
      </x:c>
      <x:c r="C1" s="8" t="str">
        <x:v>canal</x:v>
      </x:c>
      <x:c r="D1" s="8" t="str">
        <x:v>club</x:v>
      </x:c>
      <x:c r="E1" s="8" t="str">
        <x:v>rating</x:v>
      </x:c>
      <x:c r="F1" s="8" t="str">
        <x:v>sentimiento</x:v>
      </x:c>
      <x:c r="G1" s="8" t="str">
        <x:v>tema</x:v>
      </x:c>
      <x:c r="H1" s="8" t="str">
        <x:v>prioridad</x:v>
      </x:c>
      <x:c r="I1" s="8" t="str">
        <x:v>estado</x:v>
      </x:c>
      <x:c r="J1" s="8" t="str">
        <x:v>texto</x:v>
      </x:c>
      <x:c r="K1" s="8" t="str">
        <x:v>accion</x:v>
      </x:c>
    </x:row>
    <x:row r="2">
      <x:c r="A2" s="5" t="str">
        <x:v>V-104</x:v>
      </x:c>
      <x:c r="B2" s="5" t="str">
        <x:v>2026-05-24</x:v>
      </x:c>
      <x:c r="C2" s="5" t="str">
        <x:v>Google Reviews</x:v>
      </x:c>
      <x:c r="D2" s="5" t="str">
        <x:v>O2CW Malaga</x:v>
      </x:c>
      <x:c r="E2" s="5" t="str">
        <x:v>2</x:v>
      </x:c>
      <x:c r="F2" s="5" t="n">
        <x:v>-72</x:v>
      </x:c>
      <x:c r="G2" s="5" t="str">
        <x:v>Sauna y bano turco</x:v>
      </x:c>
      <x:c r="H2" s="5" t="str">
        <x:v>Alta</x:v>
      </x:c>
      <x:c r="I2" s="5" t="str">
        <x:v>Abierta</x:v>
      </x:c>
      <x:c r="J2" s="5" t="str">
        <x:v>La sauna estaba fuera de servicio otra vez y nadie aviso antes de entrar.</x:v>
      </x:c>
      <x:c r="K2" s="5" t="str">
        <x:v>Crear tarea preventiva y respuesta publica</x:v>
      </x:c>
    </x:row>
    <x:row r="3">
      <x:c r="A3" s="5" t="str">
        <x:v>V-098</x:v>
      </x:c>
      <x:c r="B3" s="5" t="str">
        <x:v>2026-05-23</x:v>
      </x:c>
      <x:c r="C3" s="5" t="str">
        <x:v>Hoja sugerencias</x:v>
      </x:c>
      <x:c r="D3" s="5" t="str">
        <x:v>O2CW Granada</x:v>
      </x:c>
      <x:c r="E3" s="5" t="str">
        <x:v>Sugerencia</x:v>
      </x:c>
      <x:c r="F3" s="5" t="n">
        <x:v>26</x:v>
      </x:c>
      <x:c r="G3" s="5" t="str">
        <x:v>Pistas de padel</x:v>
      </x:c>
      <x:c r="H3" s="5" t="str">
        <x:v>Media</x:v>
      </x:c>
      <x:c r="I3" s="5" t="str">
        <x:v>En curso</x:v>
      </x:c>
      <x:c r="J3" s="5" t="str">
        <x:v>Ampliar huecos de reserva en tarde.</x:v>
      </x:c>
      <x:c r="K3" s="5" t="str">
        <x:v>Cruzar aforo con reservas</x:v>
      </x:c>
    </x:row>
    <x:row r="4">
      <x:c r="A4" s="5" t="str">
        <x:v>V-091</x:v>
      </x:c>
      <x:c r="B4" s="5" t="str">
        <x:v>2026-05-22</x:v>
      </x:c>
      <x:c r="C4" s="5" t="str">
        <x:v>Encuesta post-clase</x:v>
      </x:c>
      <x:c r="D4" s="5" t="str">
        <x:v>O2CW Boutique Madrid</x:v>
      </x:c>
      <x:c r="E4" s="5" t="str">
        <x:v>Promotor</x:v>
      </x:c>
      <x:c r="F4" s="5" t="n">
        <x:v>88</x:v>
      </x:c>
      <x:c r="G4" s="5" t="str">
        <x:v>Body&amp;Soul</x:v>
      </x:c>
      <x:c r="H4" s="5" t="str">
        <x:v>Baja</x:v>
      </x:c>
      <x:c r="I4" s="5" t="str">
        <x:v>Completada</x:v>
      </x:c>
      <x:c r="J4" s="5" t="str">
        <x:v>La clase de movilidad ha sido excelente.</x:v>
      </x:c>
      <x:c r="K4" s="5" t="str">
        <x:v>Usar como senal de retencion</x:v>
      </x:c>
    </x:row>
    <x:row r="5">
      <x:c r="A5" s="5" t="str">
        <x:v>V-088</x:v>
      </x:c>
      <x:c r="B5" s="5" t="str">
        <x:v>2026-05-21</x:v>
      </x:c>
      <x:c r="C5" s="5" t="str">
        <x:v>WhatsApp</x:v>
      </x:c>
      <x:c r="D5" s="5" t="str">
        <x:v>O2CW Manuel Becerra</x:v>
      </x:c>
      <x:c r="E5" s="5" t="str">
        <x:v>Neutro</x:v>
      </x:c>
      <x:c r="F5" s="5" t="n">
        <x:v>-18</x:v>
      </x:c>
      <x:c r="G5" s="5" t="str">
        <x:v>Cambio de horario</x:v>
      </x:c>
      <x:c r="H5" s="5" t="str">
        <x:v>Media</x:v>
      </x:c>
      <x:c r="I5" s="5" t="str">
        <x:v>Nueva</x:v>
      </x:c>
      <x:c r="J5" s="5" t="str">
        <x:v>Desde que cambiaron la clase de las 19:30 me cuesta venir entre semana.</x:v>
      </x:c>
      <x:c r="K5" s="5" t="str">
        <x:v>Detectar cambio de tendencia y sugerir alternativa</x:v>
      </x:c>
    </x:row>
    <x:row r="6">
      <x:c r="A6" s="5" t="str">
        <x:v>V-121</x:v>
      </x:c>
      <x:c r="B6" s="5" t="str">
        <x:v>2026-05-24</x:v>
      </x:c>
      <x:c r="C6" s="5" t="str">
        <x:v>Encuesta NPS</x:v>
      </x:c>
      <x:c r="D6" s="5" t="str">
        <x:v>O2CW Sexta Avenida</x:v>
      </x:c>
      <x:c r="E6" s="5" t="str">
        <x:v>Detractor</x:v>
      </x:c>
      <x:c r="F6" s="5" t="n">
        <x:v>-64</x:v>
      </x:c>
      <x:c r="G6" s="5" t="str">
        <x:v>Natacion infantil</x:v>
      </x:c>
      <x:c r="H6" s="5" t="str">
        <x:v>Alta</x:v>
      </x:c>
      <x:c r="I6" s="5" t="str">
        <x:v>Abierta</x:v>
      </x:c>
      <x:c r="J6" s="5" t="str">
        <x:v>Llevamos semanas sin hueco para el curso infantil.</x:v>
      </x:c>
      <x:c r="K6" s="5" t="str">
        <x:v>Escalar a coordinacion y proponer lista preferente</x:v>
      </x:c>
    </x:row>
    <x:row r="7">
      <x:c r="A7" s="5" t="str">
        <x:v>V-122</x:v>
      </x:c>
      <x:c r="B7" s="5" t="str">
        <x:v>2026-05-24</x:v>
      </x:c>
      <x:c r="C7" s="5" t="str">
        <x:v>WhatsApp</x:v>
      </x:c>
      <x:c r="D7" s="5" t="str">
        <x:v>O2CW Boutique Madrid</x:v>
      </x:c>
      <x:c r="E7" s="5" t="str">
        <x:v>Neutro</x:v>
      </x:c>
      <x:c r="F7" s="5" t="n">
        <x:v>-22</x:v>
      </x:c>
      <x:c r="G7" s="5" t="str">
        <x:v>Pilates Reformer</x:v>
      </x:c>
      <x:c r="H7" s="5" t="str">
        <x:v>Media</x:v>
      </x:c>
      <x:c r="I7" s="5" t="str">
        <x:v>Nueva</x:v>
      </x:c>
      <x:c r="J7" s="5" t="str">
        <x:v>Nunca encuentro huecos de Pilates despues del trabajo.</x:v>
      </x:c>
      <x:c r="K7" s="5" t="str">
        <x:v>Cruzar reservas fallidas y proponer franja alternativa</x:v>
      </x:c>
    </x:row>
    <x:row r="8">
      <x:c r="A8" s="5" t="str">
        <x:v>V-123</x:v>
      </x:c>
      <x:c r="B8" s="5" t="str">
        <x:v>2026-05-23</x:v>
      </x:c>
      <x:c r="C8" s="5" t="str">
        <x:v>Recepcion</x:v>
      </x:c>
      <x:c r="D8" s="5" t="str">
        <x:v>O2CW Manuel Becerra</x:v>
      </x:c>
      <x:c r="E8" s="5" t="str">
        <x:v>Queja</x:v>
      </x:c>
      <x:c r="F8" s="5" t="n">
        <x:v>-51</x:v>
      </x:c>
      <x:c r="G8" s="5" t="str">
        <x:v>Vestuarios</x:v>
      </x:c>
      <x:c r="H8" s="5" t="str">
        <x:v>Alta</x:v>
      </x:c>
      <x:c r="I8" s="5" t="str">
        <x:v>En curso</x:v>
      </x:c>
      <x:c r="J8" s="5" t="str">
        <x:v>Los vestuarios se saturan tras ZONE y el spa pierde sensacion premium.</x:v>
      </x:c>
      <x:c r="K8" s="5" t="str">
        <x:v>Refuerzo limpieza y aviso de franjas valle</x:v>
      </x:c>
    </x:row>
    <x:row r="9">
      <x:c r="A9" s="5" t="str">
        <x:v>V-124</x:v>
      </x:c>
      <x:c r="B9" s="5" t="str">
        <x:v>2026-05-23</x:v>
      </x:c>
      <x:c r="C9" s="5" t="str">
        <x:v>Google Reviews</x:v>
      </x:c>
      <x:c r="D9" s="5" t="str">
        <x:v>O2CW Boutique Girona</x:v>
      </x:c>
      <x:c r="E9" s="5" t="str">
        <x:v>5</x:v>
      </x:c>
      <x:c r="F9" s="5" t="n">
        <x:v>91</x:v>
      </x:c>
      <x:c r="G9" s="5" t="str">
        <x:v>Bodymind</x:v>
      </x:c>
      <x:c r="H9" s="5" t="str">
        <x:v>Baja</x:v>
      </x:c>
      <x:c r="I9" s="5" t="str">
        <x:v>Completada</x:v>
      </x:c>
      <x:c r="J9" s="5" t="str">
        <x:v>Yoga, sauna y ambiente por encima de otros gimnasios.</x:v>
      </x:c>
      <x:c r="K9" s="5" t="str">
        <x:v>Usar como promotor boutique</x:v>
      </x:c>
    </x:row>
    <x:row r="10">
      <x:c r="A10" s="5" t="str">
        <x:v>V-125</x:v>
      </x:c>
      <x:c r="B10" s="5" t="str">
        <x:v>2026-05-22</x:v>
      </x:c>
      <x:c r="C10" s="5" t="str">
        <x:v>App SoyO2</x:v>
      </x:c>
      <x:c r="D10" s="5" t="str">
        <x:v>O2CW Huelva</x:v>
      </x:c>
      <x:c r="E10" s="5" t="str">
        <x:v>Sugerencia</x:v>
      </x:c>
      <x:c r="F10" s="5" t="n">
        <x:v>18</x:v>
      </x:c>
      <x:c r="G10" s="5" t="str">
        <x:v>Recordatorios</x:v>
      </x:c>
      <x:c r="H10" s="5" t="str">
        <x:v>Media</x:v>
      </x:c>
      <x:c r="I10" s="5" t="str">
        <x:v>Nueva</x:v>
      </x:c>
      <x:c r="J10" s="5" t="str">
        <x:v>Seria util recibir recordatorios de natacion y eventos.</x:v>
      </x:c>
      <x:c r="K10" s="5" t="str">
        <x:v>Segmentar recordatorios por habito</x:v>
      </x:c>
    </x:row>
    <x:row r="11">
      <x:c r="A11" s="5" t="str">
        <x:v>V-126</x:v>
      </x:c>
      <x:c r="B11" s="5" t="str">
        <x:v>2026-05-22</x:v>
      </x:c>
      <x:c r="C11" s="5" t="str">
        <x:v>Telefono</x:v>
      </x:c>
      <x:c r="D11" s="5" t="str">
        <x:v>O2CW Granada</x:v>
      </x:c>
      <x:c r="E11" s="5" t="str">
        <x:v>Queja</x:v>
      </x:c>
      <x:c r="F11" s="5" t="n">
        <x:v>-47</x:v>
      </x:c>
      <x:c r="G11" s="5" t="str">
        <x:v>Padel</x:v>
      </x:c>
      <x:c r="H11" s="5" t="str">
        <x:v>Media</x:v>
      </x:c>
      <x:c r="I11" s="5" t="str">
        <x:v>Abierta</x:v>
      </x:c>
      <x:c r="J11" s="5" t="str">
        <x:v>No hay visibilidad clara de huecos reales de pistas.</x:v>
      </x:c>
      <x:c r="K11" s="5" t="str">
        <x:v>Unificar disponibilidad y guion de recepcion</x:v>
      </x:c>
    </x:row>
    <x:row r="12">
      <x:c r="A12" s="5" t="str">
        <x:v>V-127</x:v>
      </x:c>
      <x:c r="B12" s="5" t="str">
        <x:v>2026-05-21</x:v>
      </x:c>
      <x:c r="C12" s="5" t="str">
        <x:v>Encuesta post-fisio</x:v>
      </x:c>
      <x:c r="D12" s="5" t="str">
        <x:v>O2CW Malaga</x:v>
      </x:c>
      <x:c r="E12" s="5" t="str">
        <x:v>Promotor</x:v>
      </x:c>
      <x:c r="F12" s="5" t="n">
        <x:v>84</x:v>
      </x:c>
      <x:c r="G12" s="5" t="str">
        <x:v>Fisioterapia</x:v>
      </x:c>
      <x:c r="H12" s="5" t="str">
        <x:v>Baja</x:v>
      </x:c>
      <x:c r="I12" s="5" t="str">
        <x:v>Completada</x:v>
      </x:c>
      <x:c r="J12" s="5" t="str">
        <x:v>El fisio me ayudo a volver a entrenar con seguridad.</x:v>
      </x:c>
      <x:c r="K12" s="5" t="str">
        <x:v>Argumento comercial para Recovery Plus</x:v>
      </x:c>
    </x:row>
    <x:row r="13">
      <x:c r="A13" s="5" t="str">
        <x:v>V-128</x:v>
      </x:c>
      <x:c r="B13" s="5" t="str">
        <x:v>2026-05-21</x:v>
      </x:c>
      <x:c r="C13" s="5" t="str">
        <x:v>Hoja sugerencias</x:v>
      </x:c>
      <x:c r="D13" s="5" t="str">
        <x:v>O2CW Parc del Migdia</x:v>
      </x:c>
      <x:c r="E13" s="5" t="str">
        <x:v>Sugerencia</x:v>
      </x:c>
      <x:c r="F13" s="5" t="n">
        <x:v>33</x:v>
      </x:c>
      <x:c r="G13" s="5" t="str">
        <x:v>Running club</x:v>
      </x:c>
      <x:c r="H13" s="5" t="str">
        <x:v>Baja</x:v>
      </x:c>
      <x:c r="I13" s="5" t="str">
        <x:v>Nueva</x:v>
      </x:c>
      <x:c r="J13" s="5" t="str">
        <x:v>Mas salidas de running por la manana ayudarian a mantener rutina.</x:v>
      </x:c>
      <x:c r="K13" s="5" t="str">
        <x:v>Test grupo outdoor martes y jueves</x:v>
      </x:c>
    </x:row>
  </x:sheetData>
  <x:pageMargins left="0.7" right="0.7" top="0.75" bottom="0.75" header="0.3" footer="0.3"/>
  <x:tableParts count="1">
    <x:tablePart xmlns:r="http://schemas.openxmlformats.org/officeDocument/2006/relationships" r:id="R7d0a7c2b033a4de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670000076293945" hidden="0" customWidth="1"/>
    <x:col min="2" max="2" width="9" hidden="0" customWidth="1"/>
    <x:col min="3" max="3" width="7" hidden="0" customWidth="1"/>
    <x:col min="4" max="4" width="20.110000610351562" hidden="0" customWidth="1"/>
    <x:col min="5" max="5" width="10.779999732971191" hidden="0" customWidth="1"/>
    <x:col min="6" max="6" width="30.219999313354492" hidden="0" customWidth="1"/>
    <x:col min="7" max="7" width="9.670000076293945" hidden="0" customWidth="1"/>
    <x:col min="8" max="8" width="10.4399995803833" hidden="0" customWidth="1"/>
    <x:col min="9" max="9" width="30.559999465942383" hidden="0" customWidth="1"/>
  </x:cols>
  <x:sheetData>
    <x:row r="1">
      <x:c r="A1" s="11" t="str">
        <x:v>id_comunicacion</x:v>
      </x:c>
      <x:c r="B1" s="11" t="str">
        <x:v>fecha</x:v>
      </x:c>
      <x:c r="C1" s="11" t="str">
        <x:v>id_socio</x:v>
      </x:c>
      <x:c r="D1" s="11" t="str">
        <x:v>club</x:v>
      </x:c>
      <x:c r="E1" s="11" t="str">
        <x:v>canal</x:v>
      </x:c>
      <x:c r="F1" s="11" t="str">
        <x:v>motivo</x:v>
      </x:c>
      <x:c r="G1" s="11" t="str">
        <x:v>sentimiento</x:v>
      </x:c>
      <x:c r="H1" s="11" t="str">
        <x:v>resultado</x:v>
      </x:c>
      <x:c r="I1" s="11" t="str">
        <x:v>siguiente_accion</x:v>
      </x:c>
    </x:row>
    <x:row r="2">
      <x:c r="A2" s="5" t="str">
        <x:v>COM-001</x:v>
      </x:c>
      <x:c r="B2" s="5" t="str">
        <x:v>2026-05-23</x:v>
      </x:c>
      <x:c r="C2" s="5" t="str">
        <x:v>S-1748</x:v>
      </x:c>
      <x:c r="D2" s="5" t="str">
        <x:v>O2CW Manuel Becerra</x:v>
      </x:c>
      <x:c r="E2" s="5" t="str">
        <x:v>WhatsApp</x:v>
      </x:c>
      <x:c r="F2" s="5" t="str">
        <x:v>Saturacion vestuarios y cambio de rutina</x:v>
      </x:c>
      <x:c r="G2" s="5" t="n">
        <x:v>-34</x:v>
      </x:c>
      <x:c r="H2" s="5" t="str">
        <x:v>Sin resolver</x:v>
      </x:c>
      <x:c r="I2" s="5" t="str">
        <x:v>Llamada humana + propuesta franja valle</x:v>
      </x:c>
    </x:row>
    <x:row r="3">
      <x:c r="A3" s="5" t="str">
        <x:v>COM-002</x:v>
      </x:c>
      <x:c r="B3" s="5" t="str">
        <x:v>2026-05-22</x:v>
      </x:c>
      <x:c r="C3" s="5" t="str">
        <x:v>S-0832</x:v>
      </x:c>
      <x:c r="D3" s="5" t="str">
        <x:v>O2CW Granada</x:v>
      </x:c>
      <x:c r="E3" s="5" t="str">
        <x:v>Telefono</x:v>
      </x:c>
      <x:c r="F3" s="5" t="str">
        <x:v>Disponibilidad padel familiar</x:v>
      </x:c>
      <x:c r="G3" s="5" t="n">
        <x:v>12</x:v>
      </x:c>
      <x:c r="H3" s="5" t="str">
        <x:v>Interes activo</x:v>
      </x:c>
      <x:c r="I3" s="5" t="str">
        <x:v>Enviar huecos alternativos</x:v>
      </x:c>
    </x:row>
    <x:row r="4">
      <x:c r="A4" s="5" t="str">
        <x:v>COM-003</x:v>
      </x:c>
      <x:c r="B4" s="5" t="str">
        <x:v>2026-05-21</x:v>
      </x:c>
      <x:c r="C4" s="5" t="str">
        <x:v>S-2214</x:v>
      </x:c>
      <x:c r="D4" s="5" t="str">
        <x:v>O2CW Boutique Barcelona</x:v>
      </x:c>
      <x:c r="E4" s="5" t="str">
        <x:v>App SoyO2</x:v>
      </x:c>
      <x:c r="F4" s="5" t="str">
        <x:v>Felicitacion clase Body&amp;Soul</x:v>
      </x:c>
      <x:c r="G4" s="5" t="n">
        <x:v>82</x:v>
      </x:c>
      <x:c r="H4" s="5" t="str">
        <x:v>Promotora</x:v>
      </x:c>
      <x:c r="I4" s="5" t="str">
        <x:v>Recomendacion personalizada</x:v>
      </x:c>
    </x:row>
    <x:row r="5">
      <x:c r="A5" s="5" t="str">
        <x:v>COM-004</x:v>
      </x:c>
      <x:c r="B5" s="5" t="str">
        <x:v>2026-05-24</x:v>
      </x:c>
      <x:c r="C5" s="5" t="str">
        <x:v>S-2602</x:v>
      </x:c>
      <x:c r="D5" s="5" t="str">
        <x:v>O2CW Malaga</x:v>
      </x:c>
      <x:c r="E5" s="5" t="str">
        <x:v>WhatsApp</x:v>
      </x:c>
      <x:c r="F5" s="5" t="str">
        <x:v>Incidencia spa y baja rutina</x:v>
      </x:c>
      <x:c r="G5" s="5" t="n">
        <x:v>-45</x:v>
      </x:c>
      <x:c r="H5" s="5" t="str">
        <x:v>Pendiente</x:v>
      </x:c>
      <x:c r="I5" s="5" t="str">
        <x:v>Sesion recovery + disculpa proactiva</x:v>
      </x:c>
    </x:row>
    <x:row r="6">
      <x:c r="A6" s="5" t="str">
        <x:v>COM-005</x:v>
      </x:c>
      <x:c r="B6" s="5" t="str">
        <x:v>2026-05-24</x:v>
      </x:c>
      <x:c r="C6" s="5" t="str">
        <x:v>S-1189</x:v>
      </x:c>
      <x:c r="D6" s="5" t="str">
        <x:v>O2CW Sexta Avenida</x:v>
      </x:c>
      <x:c r="E6" s="5" t="str">
        <x:v>Telefono</x:v>
      </x:c>
      <x:c r="F6" s="5" t="str">
        <x:v>Cambio horario laboral</x:v>
      </x:c>
      <x:c r="G6" s="5" t="n">
        <x:v>-8</x:v>
      </x:c>
      <x:c r="H6" s="5" t="str">
        <x:v>Contactado</x:v>
      </x:c>
      <x:c r="I6" s="5" t="str">
        <x:v>Enviar ZONE 20:30 y plan corporate</x:v>
      </x:c>
    </x:row>
    <x:row r="7">
      <x:c r="A7" s="5" t="str">
        <x:v>COM-006</x:v>
      </x:c>
      <x:c r="B7" s="5" t="str">
        <x:v>2026-05-23</x:v>
      </x:c>
      <x:c r="C7" s="5" t="str">
        <x:v>S-2334</x:v>
      </x:c>
      <x:c r="D7" s="5" t="str">
        <x:v>O2CW Huelva</x:v>
      </x:c>
      <x:c r="E7" s="5" t="str">
        <x:v>Telefono</x:v>
      </x:c>
      <x:c r="F7" s="5" t="str">
        <x:v>Dolor lumbar y abandono fisio</x:v>
      </x:c>
      <x:c r="G7" s="5" t="n">
        <x:v>-38</x:v>
      </x:c>
      <x:c r="H7" s="5" t="str">
        <x:v>Sin respuesta</x:v>
      </x:c>
      <x:c r="I7" s="5" t="str">
        <x:v>Reintentar llamada con fisio</x:v>
      </x:c>
    </x:row>
    <x:row r="8">
      <x:c r="A8" s="5" t="str">
        <x:v>COM-007</x:v>
      </x:c>
      <x:c r="B8" s="5" t="str">
        <x:v>2026-05-23</x:v>
      </x:c>
      <x:c r="C8" s="5" t="str">
        <x:v>S-3201</x:v>
      </x:c>
      <x:c r="D8" s="5" t="str">
        <x:v>O2CW Granada</x:v>
      </x:c>
      <x:c r="E8" s="5" t="str">
        <x:v>WhatsApp</x:v>
      </x:c>
      <x:c r="F8" s="5" t="str">
        <x:v>Disponibilidad padel</x:v>
      </x:c>
      <x:c r="G8" s="5" t="n">
        <x:v>-21</x:v>
      </x:c>
      <x:c r="H8" s="5" t="str">
        <x:v>Abierto</x:v>
      </x:c>
      <x:c r="I8" s="5" t="str">
        <x:v>Proponer huecos fuera de pico</x:v>
      </x:c>
    </x:row>
    <x:row r="9">
      <x:c r="A9" s="5" t="str">
        <x:v>COM-008</x:v>
      </x:c>
      <x:c r="B9" s="5" t="str">
        <x:v>2026-05-22</x:v>
      </x:c>
      <x:c r="C9" s="5" t="str">
        <x:v>lead</x:v>
      </x:c>
      <x:c r="D9" s="5" t="str">
        <x:v>O2CW Boutique Madrid</x:v>
      </x:c>
      <x:c r="E9" s="5" t="str">
        <x:v>Instagram</x:v>
      </x:c>
      <x:c r="F9" s="5" t="str">
        <x:v>Interes Pilates Reformer</x:v>
      </x:c>
      <x:c r="G9" s="5" t="n">
        <x:v>32</x:v>
      </x:c>
      <x:c r="H9" s="5" t="str">
        <x:v>Contactado</x:v>
      </x:c>
      <x:c r="I9" s="5" t="str">
        <x:v>Enviar huecos reales y visita</x:v>
      </x:c>
    </x:row>
    <x:row r="10">
      <x:c r="A10" s="5" t="str">
        <x:v>COM-009</x:v>
      </x:c>
      <x:c r="B10" s="5" t="str">
        <x:v>2026-05-22</x:v>
      </x:c>
      <x:c r="C10" s="5" t="str">
        <x:v>lead</x:v>
      </x:c>
      <x:c r="D10" s="5" t="str">
        <x:v>O2CW Malaga</x:v>
      </x:c>
      <x:c r="E10" s="5" t="str">
        <x:v>Dia de prueba</x:v>
      </x:c>
      <x:c r="F10" s="5" t="str">
        <x:v>Recovery Plus</x:v>
      </x:c>
      <x:c r="G10" s="5" t="n">
        <x:v>58</x:v>
      </x:c>
      <x:c r="H10" s="5" t="str">
        <x:v>Alta probable</x:v>
      </x:c>
      <x:c r="I10" s="5" t="str">
        <x:v>Cita fisio + plan mensual</x:v>
      </x:c>
    </x:row>
  </x:sheetData>
  <x:pageMargins left="0.7" right="0.7" top="0.75" bottom="0.75" header="0.3" footer="0.3"/>
  <x:tableParts count="1">
    <x:tablePart xmlns:r="http://schemas.openxmlformats.org/officeDocument/2006/relationships" r:id="R1e14877d3d4a419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890000343322754" hidden="0" customWidth="1"/>
    <x:col min="2" max="2" width="9" hidden="0" customWidth="1"/>
    <x:col min="3" max="3" width="7" hidden="0" customWidth="1"/>
    <x:col min="4" max="4" width="20.110000610351562" hidden="0" customWidth="1"/>
    <x:col min="5" max="5" width="3.3299999237060547" hidden="0" customWidth="1"/>
    <x:col min="6" max="6" width="9.890000343322754" hidden="0" customWidth="1"/>
    <x:col min="7" max="7" width="25.110000610351562" hidden="0" customWidth="1"/>
    <x:col min="8" max="8" width="18.889999389648438" hidden="0" customWidth="1"/>
    <x:col min="9" max="9" width="35.66999816894531" hidden="0" customWidth="1"/>
  </x:cols>
  <x:sheetData>
    <x:row r="1">
      <x:c r="A1" s="3" t="str">
        <x:v>id_encuesta</x:v>
      </x:c>
      <x:c r="B1" s="3" t="str">
        <x:v>fecha</x:v>
      </x:c>
      <x:c r="C1" s="3" t="str">
        <x:v>id_socio</x:v>
      </x:c>
      <x:c r="D1" s="3" t="str">
        <x:v>club</x:v>
      </x:c>
      <x:c r="E1" s="3" t="str">
        <x:v>nps</x:v>
      </x:c>
      <x:c r="F1" s="3" t="str">
        <x:v>satisfaccion</x:v>
      </x:c>
      <x:c r="G1" s="3" t="str">
        <x:v>puntos_dolor</x:v>
      </x:c>
      <x:c r="H1" s="3" t="str">
        <x:v>area_mejora</x:v>
      </x:c>
      <x:c r="I1" s="3" t="str">
        <x:v>accion_recomendada</x:v>
      </x:c>
    </x:row>
    <x:row r="2">
      <x:c r="A2" s="5" t="str">
        <x:v>E-001</x:v>
      </x:c>
      <x:c r="B2" s="5" t="str">
        <x:v>2026-05-24</x:v>
      </x:c>
      <x:c r="C2" s="5" t="str">
        <x:v>S-1748</x:v>
      </x:c>
      <x:c r="D2" s="5" t="str">
        <x:v>O2CW Manuel Becerra</x:v>
      </x:c>
      <x:c r="E2" s="5" t="n">
        <x:v>6</x:v>
      </x:c>
      <x:c r="F2" s="5" t="str">
        <x:v>Media</x:v>
      </x:c>
      <x:c r="G2" s="5" t="str">
        <x:v>Vestuarios y spa en hora punta</x:v>
      </x:c>
      <x:c r="H2" s="5" t="str">
        <x:v>Experiencia club</x:v>
      </x:c>
      <x:c r="I2" s="5" t="str">
        <x:v>Recuperar habito con circuito spa en franja valle</x:v>
      </x:c>
    </x:row>
    <x:row r="3">
      <x:c r="A3" s="5" t="str">
        <x:v>E-002</x:v>
      </x:c>
      <x:c r="B3" s="5" t="str">
        <x:v>2026-05-22</x:v>
      </x:c>
      <x:c r="C3" s="5" t="str">
        <x:v>S-0832</x:v>
      </x:c>
      <x:c r="D3" s="5" t="str">
        <x:v>O2CW Granada</x:v>
      </x:c>
      <x:c r="E3" s="5" t="n">
        <x:v>7</x:v>
      </x:c>
      <x:c r="F3" s="5" t="str">
        <x:v>Media</x:v>
      </x:c>
      <x:c r="G3" s="5" t="str">
        <x:v>Reservas de padel saturadas</x:v>
      </x:c>
      <x:c r="H3" s="5" t="str">
        <x:v>Aforos y reservas</x:v>
      </x:c>
      <x:c r="I3" s="5" t="str">
        <x:v>Redistribuir pistas y comunicar huecos</x:v>
      </x:c>
    </x:row>
    <x:row r="4">
      <x:c r="A4" s="5" t="str">
        <x:v>E-003</x:v>
      </x:c>
      <x:c r="B4" s="5" t="str">
        <x:v>2026-05-21</x:v>
      </x:c>
      <x:c r="C4" s="5" t="str">
        <x:v>S-2214</x:v>
      </x:c>
      <x:c r="D4" s="5" t="str">
        <x:v>O2CW Boutique Barcelona</x:v>
      </x:c>
      <x:c r="E4" s="5" t="n">
        <x:v>10</x:v>
      </x:c>
      <x:c r="F4" s="5" t="str">
        <x:v>Alta</x:v>
      </x:c>
      <x:c r="G4" s="5" t="str">
        <x:v>Ninguno</x:v>
      </x:c>
      <x:c r="H4" s="5" t="str">
        <x:v>Clases Body&amp;Soul</x:v>
      </x:c>
      <x:c r="I4" s="5" t="str">
        <x:v>Usar como promotora</x:v>
      </x:c>
    </x:row>
    <x:row r="5">
      <x:c r="A5" s="5" t="str">
        <x:v>E-004</x:v>
      </x:c>
      <x:c r="B5" s="5" t="str">
        <x:v>2026-05-24</x:v>
      </x:c>
      <x:c r="C5" s="5" t="str">
        <x:v>S-3521</x:v>
      </x:c>
      <x:c r="D5" s="5" t="str">
        <x:v>O2CW Sexta Avenida</x:v>
      </x:c>
      <x:c r="E5" s="5" t="n">
        <x:v>5</x:v>
      </x:c>
      <x:c r="F5" s="5" t="str">
        <x:v>Baja</x:v>
      </x:c>
      <x:c r="G5" s="5" t="str">
        <x:v>Curso natacion infantil sin huecos</x:v>
      </x:c>
      <x:c r="H5" s="5" t="str">
        <x:v>Natacion y comunicacion</x:v>
      </x:c>
      <x:c r="I5" s="5" t="str">
        <x:v>Resolver cupo familiar</x:v>
      </x:c>
    </x:row>
    <x:row r="6">
      <x:c r="A6" s="5" t="str">
        <x:v>E-005</x:v>
      </x:c>
      <x:c r="B6" s="5" t="str">
        <x:v>2026-05-23</x:v>
      </x:c>
      <x:c r="C6" s="5" t="str">
        <x:v>S-2602</x:v>
      </x:c>
      <x:c r="D6" s="5" t="str">
        <x:v>O2CW Malaga</x:v>
      </x:c>
      <x:c r="E6" s="5" t="n">
        <x:v>6</x:v>
      </x:c>
      <x:c r="F6" s="5" t="str">
        <x:v>Media</x:v>
      </x:c>
      <x:c r="G6" s="5" t="str">
        <x:v>Sauna y duchas</x:v>
      </x:c>
      <x:c r="H6" s="5" t="str">
        <x:v>Spa y mantenimiento</x:v>
      </x:c>
      <x:c r="I6" s="5" t="str">
        <x:v>Plan preventivo visible</x:v>
      </x:c>
    </x:row>
    <x:row r="7">
      <x:c r="A7" s="5" t="str">
        <x:v>E-006</x:v>
      </x:c>
      <x:c r="B7" s="5" t="str">
        <x:v>2026-05-23</x:v>
      </x:c>
      <x:c r="C7" s="5" t="str">
        <x:v>S-2718</x:v>
      </x:c>
      <x:c r="D7" s="5" t="str">
        <x:v>O2CW Boutique Girona</x:v>
      </x:c>
      <x:c r="E7" s="5" t="n">
        <x:v>9</x:v>
      </x:c>
      <x:c r="F7" s="5" t="str">
        <x:v>Alta</x:v>
      </x:c>
      <x:c r="G7" s="5" t="str">
        <x:v>Ninguno</x:v>
      </x:c>
      <x:c r="H7" s="5" t="str">
        <x:v>Bodymind y sauna</x:v>
      </x:c>
      <x:c r="I7" s="5" t="str">
        <x:v>Recomendar Pilates Reformer</x:v>
      </x:c>
    </x:row>
    <x:row r="8">
      <x:c r="A8" s="5" t="str">
        <x:v>E-007</x:v>
      </x:c>
      <x:c r="B8" s="5" t="str">
        <x:v>2026-05-22</x:v>
      </x:c>
      <x:c r="C8" s="5" t="str">
        <x:v>S-2334</x:v>
      </x:c>
      <x:c r="D8" s="5" t="str">
        <x:v>O2CW Huelva</x:v>
      </x:c>
      <x:c r="E8" s="5" t="n">
        <x:v>4</x:v>
      </x:c>
      <x:c r="F8" s="5" t="str">
        <x:v>Baja</x:v>
      </x:c>
      <x:c r="G8" s="5" t="str">
        <x:v>Dolor lumbar sin seguimiento</x:v>
      </x:c>
      <x:c r="H8" s="5" t="str">
        <x:v>Fisioterapia</x:v>
      </x:c>
      <x:c r="I8" s="5" t="str">
        <x:v>Llamada humana con plan espalda</x:v>
      </x:c>
    </x:row>
    <x:row r="9">
      <x:c r="A9" s="5" t="str">
        <x:v>E-008</x:v>
      </x:c>
      <x:c r="B9" s="5" t="str">
        <x:v>2026-05-22</x:v>
      </x:c>
      <x:c r="C9" s="5" t="str">
        <x:v>S-3888</x:v>
      </x:c>
      <x:c r="D9" s="5" t="str">
        <x:v>O2CW Huelva</x:v>
      </x:c>
      <x:c r="E9" s="5" t="n">
        <x:v>10</x:v>
      </x:c>
      <x:c r="F9" s="5" t="str">
        <x:v>Alta</x:v>
      </x:c>
      <x:c r="G9" s="5" t="str">
        <x:v>Ninguno</x:v>
      </x:c>
      <x:c r="H9" s="5" t="str">
        <x:v>Aqua Wellness</x:v>
      </x:c>
      <x:c r="I9" s="5" t="str">
        <x:v>Invitar a masterclass</x:v>
      </x:c>
    </x:row>
  </x:sheetData>
  <x:pageMargins left="0.7" right="0.7" top="0.75" bottom="0.75" header="0.3" footer="0.3"/>
  <x:tableParts count="1">
    <x:tablePart xmlns:r="http://schemas.openxmlformats.org/officeDocument/2006/relationships" r:id="R84410304a59b4fd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670000076293945" hidden="0" customWidth="1"/>
    <x:col min="2" max="2" width="7" hidden="0" customWidth="1"/>
    <x:col min="3" max="3" width="11.779999732971191" hidden="0" customWidth="1"/>
    <x:col min="4" max="4" width="20.110000610351562" hidden="0" customWidth="1"/>
    <x:col min="5" max="5" width="7" hidden="0" customWidth="1"/>
    <x:col min="6" max="6" width="17.110000610351562" hidden="0" customWidth="1"/>
    <x:col min="7" max="7" width="16.219999313354492" hidden="0" customWidth="1"/>
    <x:col min="8" max="8" width="25.219999313354492" hidden="0" customWidth="1"/>
    <x:col min="9" max="9" width="24.889999389648438" hidden="0" customWidth="1"/>
  </x:cols>
  <x:sheetData>
    <x:row r="1">
      <x:c r="A1" s="11" t="str">
        <x:v>id_habito</x:v>
      </x:c>
      <x:c r="B1" s="11" t="str">
        <x:v>id_socio</x:v>
      </x:c>
      <x:c r="C1" s="11" t="str">
        <x:v>periodo</x:v>
      </x:c>
      <x:c r="D1" s="11" t="str">
        <x:v>club</x:v>
      </x:c>
      <x:c r="E1" s="11" t="str">
        <x:v>accesos</x:v>
      </x:c>
      <x:c r="F1" s="11" t="str">
        <x:v>reservas</x:v>
      </x:c>
      <x:c r="G1" s="11" t="str">
        <x:v>servicios_usados</x:v>
      </x:c>
      <x:c r="H1" s="11" t="str">
        <x:v>cambio_tendencia</x:v>
      </x:c>
      <x:c r="I1" s="11" t="str">
        <x:v>lectura</x:v>
      </x:c>
    </x:row>
    <x:row r="2">
      <x:c r="A2" s="5" t="str">
        <x:v>H-001</x:v>
      </x:c>
      <x:c r="B2" s="5" t="str">
        <x:v>S-1748</x:v>
      </x:c>
      <x:c r="C2" s="5" t="str">
        <x:v>Ultimos 30 dias</x:v>
      </x:c>
      <x:c r="D2" s="5" t="str">
        <x:v>O2CW Manuel Becerra</x:v>
      </x:c>
      <x:c r="E2" s="5" t="n">
        <x:v>3</x:v>
      </x:c>
      <x:c r="F2" s="5" t="str">
        <x:v>2 no-shows</x:v>
      </x:c>
      <x:c r="G2" s="5" t="str">
        <x:v>Spa; fuerza</x:v>
      </x:c>
      <x:c r="H2" s="5" t="str">
        <x:v>-73% accesos vs periodo anterior</x:v>
      </x:c>
      <x:c r="I2" s="5" t="str">
        <x:v>Riesgo alto por perdida de habito</x:v>
      </x:c>
    </x:row>
    <x:row r="3">
      <x:c r="A3" s="5" t="str">
        <x:v>H-002</x:v>
      </x:c>
      <x:c r="B3" s="5" t="str">
        <x:v>S-0832</x:v>
      </x:c>
      <x:c r="C3" s="5" t="str">
        <x:v>Ultimos 30 dias</x:v>
      </x:c>
      <x:c r="D3" s="5" t="str">
        <x:v>O2CW Granada</x:v>
      </x:c>
      <x:c r="E3" s="5" t="n">
        <x:v>5</x:v>
      </x:c>
      <x:c r="F3" s="5" t="str">
        <x:v>2 cancelaciones padel</x:v>
      </x:c>
      <x:c r="G3" s="5" t="str">
        <x:v>Padel; ciclo</x:v>
      </x:c>
      <x:c r="H3" s="5" t="str">
        <x:v>Cambio a franja valle</x:v>
      </x:c>
      <x:c r="I3" s="5" t="str">
        <x:v>Riesgo medio por saturacion</x:v>
      </x:c>
    </x:row>
    <x:row r="4">
      <x:c r="A4" s="5" t="str">
        <x:v>H-003</x:v>
      </x:c>
      <x:c r="B4" s="5" t="str">
        <x:v>S-2214</x:v>
      </x:c>
      <x:c r="C4" s="5" t="str">
        <x:v>Ultimos 30 dias</x:v>
      </x:c>
      <x:c r="D4" s="5" t="str">
        <x:v>O2CW Boutique Barcelona</x:v>
      </x:c>
      <x:c r="E4" s="5" t="n">
        <x:v>13</x:v>
      </x:c>
      <x:c r="F4" s="5" t="str">
        <x:v>12 reservas</x:v>
      </x:c>
      <x:c r="G4" s="5" t="str">
        <x:v>Body&amp;Soul; SoyO2</x:v>
      </x:c>
      <x:c r="H4" s="5" t="str">
        <x:v>Estable positivo</x:v>
      </x:c>
      <x:c r="I4" s="5" t="str">
        <x:v>Socia promotora</x:v>
      </x:c>
    </x:row>
    <x:row r="5">
      <x:c r="A5" s="5" t="str">
        <x:v>H-004</x:v>
      </x:c>
      <x:c r="B5" s="5" t="str">
        <x:v>S-2602</x:v>
      </x:c>
      <x:c r="C5" s="5" t="str">
        <x:v>Ultimos 30 dias</x:v>
      </x:c>
      <x:c r="D5" s="5" t="str">
        <x:v>O2CW Malaga</x:v>
      </x:c>
      <x:c r="E5" s="5" t="n">
        <x:v>4</x:v>
      </x:c>
      <x:c r="F5" s="5" t="str">
        <x:v>3 reservas piscina</x:v>
      </x:c>
      <x:c r="G5" s="5" t="str">
        <x:v>Recovery; piscina</x:v>
      </x:c>
      <x:c r="H5" s="5" t="str">
        <x:v>-67% accesos vs periodo anterior</x:v>
      </x:c>
      <x:c r="I5" s="5" t="str">
        <x:v>Riesgo alto por friccion spa</x:v>
      </x:c>
    </x:row>
    <x:row r="6">
      <x:c r="A6" s="5" t="str">
        <x:v>H-005</x:v>
      </x:c>
      <x:c r="B6" s="5" t="str">
        <x:v>S-1189</x:v>
      </x:c>
      <x:c r="C6" s="5" t="str">
        <x:v>Ultimos 30 dias</x:v>
      </x:c>
      <x:c r="D6" s="5" t="str">
        <x:v>O2CW Sexta Avenida</x:v>
      </x:c>
      <x:c r="E6" s="5" t="n">
        <x:v>6</x:v>
      </x:c>
      <x:c r="F6" s="5" t="str">
        <x:v>3 cancelaciones ZONE</x:v>
      </x:c>
      <x:c r="G6" s="5" t="str">
        <x:v>ZONE; fuerza</x:v>
      </x:c>
      <x:c r="H6" s="5" t="str">
        <x:v>Cambio de franja a noche</x:v>
      </x:c>
      <x:c r="I6" s="5" t="str">
        <x:v>Riesgo medio corporate</x:v>
      </x:c>
    </x:row>
    <x:row r="7">
      <x:c r="A7" s="5" t="str">
        <x:v>H-006</x:v>
      </x:c>
      <x:c r="B7" s="5" t="str">
        <x:v>S-3077</x:v>
      </x:c>
      <x:c r="C7" s="5" t="str">
        <x:v>Ultimos 30 dias</x:v>
      </x:c>
      <x:c r="D7" s="5" t="str">
        <x:v>O2CW Parc del Migdia</x:v>
      </x:c>
      <x:c r="E7" s="5" t="n">
        <x:v>15</x:v>
      </x:c>
      <x:c r="F7" s="5" t="str">
        <x:v>9 reservas aqua</x:v>
      </x:c>
      <x:c r="G7" s="5" t="str">
        <x:v>Piscina; retos SoyO2</x:v>
      </x:c>
      <x:c r="H7" s="5" t="str">
        <x:v>Estable positivo</x:v>
      </x:c>
      <x:c r="I7" s="5" t="str">
        <x:v>Socia familiar promotora</x:v>
      </x:c>
    </x:row>
    <x:row r="8">
      <x:c r="A8" s="5" t="str">
        <x:v>H-007</x:v>
      </x:c>
      <x:c r="B8" s="5" t="str">
        <x:v>S-2334</x:v>
      </x:c>
      <x:c r="C8" s="5" t="str">
        <x:v>Ultimos 30 dias</x:v>
      </x:c>
      <x:c r="D8" s="5" t="str">
        <x:v>O2CW Huelva</x:v>
      </x:c>
      <x:c r="E8" s="5" t="n">
        <x:v>2</x:v>
      </x:c>
      <x:c r="F8" s="5" t="str">
        <x:v>0 reservas</x:v>
      </x:c>
      <x:c r="G8" s="5" t="str">
        <x:v>Sala fitness; fisio</x:v>
      </x:c>
      <x:c r="H8" s="5" t="str">
        <x:v>Abandono de rutina</x:v>
      </x:c>
      <x:c r="I8" s="5" t="str">
        <x:v>Riesgo alto por salud</x:v>
      </x:c>
    </x:row>
    <x:row r="9">
      <x:c r="A9" s="5" t="str">
        <x:v>H-008</x:v>
      </x:c>
      <x:c r="B9" s="5" t="str">
        <x:v>S-3201</x:v>
      </x:c>
      <x:c r="C9" s="5" t="str">
        <x:v>Ultimos 30 dias</x:v>
      </x:c>
      <x:c r="D9" s="5" t="str">
        <x:v>O2CW Granada</x:v>
      </x:c>
      <x:c r="E9" s="5" t="n">
        <x:v>8</x:v>
      </x:c>
      <x:c r="F9" s="5" t="str">
        <x:v>5 reservas fallidas</x:v>
      </x:c>
      <x:c r="G9" s="5" t="str">
        <x:v>Padel; spa</x:v>
      </x:c>
      <x:c r="H9" s="5" t="str">
        <x:v>Saturacion padel 20:00</x:v>
      </x:c>
      <x:c r="I9" s="5" t="str">
        <x:v>Redistribuir demanda</x:v>
      </x:c>
    </x:row>
    <x:row r="10">
      <x:c r="A10" s="5" t="str">
        <x:v>H-009</x:v>
      </x:c>
      <x:c r="B10" s="5" t="str">
        <x:v>S-3742</x:v>
      </x:c>
      <x:c r="C10" s="5" t="str">
        <x:v>Ultimos 30 dias</x:v>
      </x:c>
      <x:c r="D10" s="5" t="str">
        <x:v>O2CW Parc del Migdia</x:v>
      </x:c>
      <x:c r="E10" s="5" t="n">
        <x:v>6</x:v>
      </x:c>
      <x:c r="F10" s="5" t="str">
        <x:v>1 reserva indoor</x:v>
      </x:c>
      <x:c r="G10" s="5" t="str">
        <x:v>Outdoor; On Demand</x:v>
      </x:c>
      <x:c r="H10" s="5" t="str">
        <x:v>Migracion a exterior</x:v>
      </x:c>
      <x:c r="I10" s="5" t="str">
        <x:v>Activar running club</x:v>
      </x:c>
    </x:row>
  </x:sheetData>
  <x:pageMargins left="0.7" right="0.7" top="0.75" bottom="0.75" header="0.3" footer="0.3"/>
  <x:tableParts count="1">
    <x:tablePart xmlns:r="http://schemas.openxmlformats.org/officeDocument/2006/relationships" r:id="Re0c9c7b2fcbc445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.440000534057617" hidden="0" customWidth="1"/>
    <x:col min="2" max="2" width="41.88999938964844" hidden="0" customWidth="1"/>
    <x:col min="3" max="3" width="28.219999313354492" hidden="0" customWidth="1"/>
    <x:col min="4" max="4" width="31.219999313354492" hidden="0" customWidth="1"/>
    <x:col min="5" max="5" width="13.5600004196167" hidden="0" customWidth="1"/>
    <x:col min="6" max="6" width="6.78000020980835" hidden="0" customWidth="1"/>
  </x:cols>
  <x:sheetData>
    <x:row r="1">
      <x:c r="A1" s="8" t="str">
        <x:v>necesidad</x:v>
      </x:c>
      <x:c r="B1" s="8" t="str">
        <x:v>informacion_utilizada</x:v>
      </x:c>
      <x:c r="C1" s="8" t="str">
        <x:v>herramienta_poc</x:v>
      </x:c>
      <x:c r="D1" s="8" t="str">
        <x:v>kpi_demo</x:v>
      </x:c>
      <x:c r="E1" s="8" t="str">
        <x:v>responsable</x:v>
      </x:c>
      <x:c r="F1" s="8" t="str">
        <x:v>estado</x:v>
      </x:c>
    </x:row>
    <x:row r="2">
      <x:c r="A2" s="5" t="str">
        <x:v>Prediccion de riesgo de desercion</x:v>
      </x:c>
      <x:c r="B2" s="5" t="str">
        <x:v>Accesos; cuotas; servicios utilizados; comunicaciones</x:v>
      </x:c>
      <x:c r="C2" s="5" t="str">
        <x:v>Socio 360 + playbook de retencion</x:v>
      </x:c>
      <x:c r="D2" s="5" t="str">
        <x:v>churn_score; LTV protegido</x:v>
      </x:c>
      <x:c r="E2" s="5" t="str">
        <x:v>Experiencia / club</x:v>
      </x:c>
      <x:c r="F2" s="5" t="str">
        <x:v>Cubierto</x:v>
      </x:c>
    </x:row>
    <x:row r="3">
      <x:c r="A3" s="5" t="str">
        <x:v>Satisfaccion y puntos de dolor</x:v>
      </x:c>
      <x:c r="B3" s="5" t="str">
        <x:v>Resenas; reclamaciones; encuestas; WhatsApp; telefono</x:v>
      </x:c>
      <x:c r="C3" s="5" t="str">
        <x:v>Voz del cliente + sentimiento por sede</x:v>
      </x:c>
      <x:c r="D3" s="5" t="str">
        <x:v>sentimiento; NPS; prioridad</x:v>
      </x:c>
      <x:c r="E3" s="5" t="str">
        <x:v>CX / direccion</x:v>
      </x:c>
      <x:c r="F3" s="5" t="str">
        <x:v>Cubierto</x:v>
      </x:c>
    </x:row>
    <x:row r="4">
      <x:c r="A4" s="5" t="str">
        <x:v>Areas de mejora en el servicio</x:v>
      </x:c>
      <x:c r="B4" s="5" t="str">
        <x:v>Sugerencias; reclamaciones; aforos; mantenimiento</x:v>
      </x:c>
      <x:c r="C4" s="5" t="str">
        <x:v>Ranking de temas + tareas por club</x:v>
      </x:c>
      <x:c r="D4" s="5" t="str">
        <x:v>temas criticos; tareas abiertas</x:v>
      </x:c>
      <x:c r="E4" s="5" t="str">
        <x:v>Operaciones</x:v>
      </x:c>
      <x:c r="F4" s="5" t="str">
        <x:v>Cubierto</x:v>
      </x:c>
    </x:row>
    <x:row r="5">
      <x:c r="A5" s="5" t="str">
        <x:v>Habitos de uso y cambios de tendencia</x:v>
      </x:c>
      <x:c r="B5" s="5" t="str">
        <x:v>Accesos; reservas; SoyO2; servicios usados</x:v>
      </x:c>
      <x:c r="C5" s="5" t="str">
        <x:v>Radar de frecuencia y habitos</x:v>
      </x:c>
      <x:c r="D5" s="5" t="str">
        <x:v>frecuencia_30d; no-shows; ocupacion</x:v>
      </x:c>
      <x:c r="E5" s="5" t="str">
        <x:v>Club manager</x:v>
      </x:c>
      <x:c r="F5" s="5" t="str">
        <x:v>Cubierto</x:v>
      </x:c>
    </x:row>
    <x:row r="6">
      <x:c r="A6" s="5" t="str">
        <x:v>Analisis de estrategias comerciales</x:v>
      </x:c>
      <x:c r="B6" s="5" t="str">
        <x:v>CRM; llamadas; WhatsApp; visitas; objeciones</x:v>
      </x:c>
      <x:c r="C6" s="5" t="str">
        <x:v>Inteligencia comercial y funnel</x:v>
      </x:c>
      <x:c r="D6" s="5" t="str">
        <x:v>intencion_compra; objeciones; conversion</x:v>
      </x:c>
      <x:c r="E6" s="5" t="str">
        <x:v>Comercial</x:v>
      </x:c>
      <x:c r="F6" s="5" t="str">
        <x:v>Cubierto</x:v>
      </x:c>
    </x:row>
  </x:sheetData>
  <x:pageMargins left="0.7" right="0.7" top="0.75" bottom="0.75" header="0.3" footer="0.3"/>
  <x:tableParts count="1">
    <x:tablePart xmlns:r="http://schemas.openxmlformats.org/officeDocument/2006/relationships" r:id="R0159c7b584034481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4399995803833" hidden="0" customWidth="1"/>
    <x:col min="2" max="2" width="9" hidden="0" customWidth="1"/>
    <x:col min="3" max="3" width="10.670000076293945" hidden="0" customWidth="1"/>
    <x:col min="4" max="4" width="20.110000610351562" hidden="0" customWidth="1"/>
    <x:col min="5" max="5" width="15.670000076293945" hidden="0" customWidth="1"/>
    <x:col min="6" max="6" width="35.33000183105469" hidden="0" customWidth="1"/>
    <x:col min="7" max="7" width="25.329999923706055" hidden="0" customWidth="1"/>
    <x:col min="8" max="8" width="14.4399995803833" hidden="0" customWidth="1"/>
    <x:col min="9" max="9" width="12.109999656677246" hidden="0" customWidth="1"/>
    <x:col min="10" max="10" width="31.219999313354492" hidden="0" customWidth="1"/>
  </x:cols>
  <x:sheetData>
    <x:row r="1">
      <x:c r="A1" s="14" t="str">
        <x:v>id_entrevista</x:v>
      </x:c>
      <x:c r="B1" s="14" t="str">
        <x:v>fecha</x:v>
      </x:c>
      <x:c r="C1" s="14" t="str">
        <x:v>lead</x:v>
      </x:c>
      <x:c r="D1" s="14" t="str">
        <x:v>club</x:v>
      </x:c>
      <x:c r="E1" s="14" t="str">
        <x:v>canal</x:v>
      </x:c>
      <x:c r="F1" s="14" t="str">
        <x:v>motivacion</x:v>
      </x:c>
      <x:c r="G1" s="14" t="str">
        <x:v>objeciones</x:v>
      </x:c>
      <x:c r="H1" s="14" t="str">
        <x:v>intencion_compra</x:v>
      </x:c>
      <x:c r="I1" s="14" t="str">
        <x:v>estado</x:v>
      </x:c>
      <x:c r="J1" s="14" t="str">
        <x:v>siguiente_accion</x:v>
      </x:c>
    </x:row>
    <x:row r="2">
      <x:c r="A2" s="5" t="str">
        <x:v>C-2401</x:v>
      </x:c>
      <x:c r="B2" s="5" t="str">
        <x:v>2026-05-24</x:v>
      </x:c>
      <x:c r="C2" s="5" t="str">
        <x:v>Ines Romero</x:v>
      </x:c>
      <x:c r="D2" s="5" t="str">
        <x:v>O2CW Sexta Avenida</x:v>
      </x:c>
      <x:c r="E2" s="5" t="str">
        <x:v>Dia de prueba</x:v>
      </x:c>
      <x:c r="F2" s="5" t="str">
        <x:v>Fuerza, piscina y fisioterapia por lesion previa</x:v>
      </x:c>
      <x:c r="G2" s="5" t="str">
        <x:v>Precio; horario despues de oficina</x:v>
      </x:c>
      <x:c r="H2" s="5" t="n">
        <x:v>86</x:v>
      </x:c>
      <x:c r="I2" s="5" t="str">
        <x:v>Visita agendada</x:v>
      </x:c>
      <x:c r="J2" s="5" t="str">
        <x:v>Enviar plan 14 dias con piscina + fisio</x:v>
      </x:c>
    </x:row>
    <x:row r="3">
      <x:c r="A3" s="5" t="str">
        <x:v>C-2388</x:v>
      </x:c>
      <x:c r="B3" s="5" t="str">
        <x:v>2026-05-23</x:v>
      </x:c>
      <x:c r="C3" s="5" t="str">
        <x:v>Alvaro Segui</x:v>
      </x:c>
      <x:c r="D3" s="5" t="str">
        <x:v>O2CW Huelva</x:v>
      </x:c>
      <x:c r="E3" s="5" t="str">
        <x:v>WhatsApp comercial</x:v>
      </x:c>
      <x:c r="F3" s="5" t="str">
        <x:v>Club familiar con piscina y padel</x:v>
      </x:c>
      <x:c r="G3" s="5" t="str">
        <x:v>Disponibilidad padel</x:v>
      </x:c>
      <x:c r="H3" s="5" t="n">
        <x:v>72</x:v>
      </x:c>
      <x:c r="I3" s="5" t="str">
        <x:v>Contactado</x:v>
      </x:c>
      <x:c r="J3" s="5" t="str">
        <x:v>Proponer visita en franja valle</x:v>
      </x:c>
    </x:row>
    <x:row r="4">
      <x:c r="A4" s="5" t="str">
        <x:v>C-2362</x:v>
      </x:c>
      <x:c r="B4" s="5" t="str">
        <x:v>2026-05-22</x:v>
      </x:c>
      <x:c r="C4" s="5" t="str">
        <x:v>Nuria Ferrer</x:v>
      </x:c>
      <x:c r="D4" s="5" t="str">
        <x:v>O2CW Boutique Girona</x:v>
      </x:c>
      <x:c r="E4" s="5" t="str">
        <x:v>Instagram</x:v>
      </x:c>
      <x:c r="F4" s="5" t="str">
        <x:v>Gimnasio femenino, yoga, pilates y sauna</x:v>
      </x:c>
      <x:c r="G4" s="5" t="str">
        <x:v>Compromiso anual</x:v>
      </x:c>
      <x:c r="H4" s="5" t="n">
        <x:v>91</x:v>
      </x:c>
      <x:c r="I4" s="5" t="str">
        <x:v>Alta probable</x:v>
      </x:c>
      <x:c r="J4" s="5" t="str">
        <x:v>Cerrar mensual con upgrade Body&amp;Soul</x:v>
      </x:c>
    </x:row>
    <x:row r="5">
      <x:c r="A5" s="5" t="str">
        <x:v>C-2420</x:v>
      </x:c>
      <x:c r="B5" s="5" t="str">
        <x:v>2026-05-25</x:v>
      </x:c>
      <x:c r="C5" s="5" t="str">
        <x:v>Beatriz Galan</x:v>
      </x:c>
      <x:c r="D5" s="5" t="str">
        <x:v>O2CW Boutique Madrid</x:v>
      </x:c>
      <x:c r="E5" s="5" t="str">
        <x:v>Instagram</x:v>
      </x:c>
      <x:c r="F5" s="5" t="str">
        <x:v>Boutique, Pilates y spa sin ambiente masificado</x:v>
      </x:c>
      <x:c r="G5" s="5" t="str">
        <x:v>Disponibilidad Pilates; precio</x:v>
      </x:c>
      <x:c r="H5" s="5" t="n">
        <x:v>82</x:v>
      </x:c>
      <x:c r="I5" s="5" t="str">
        <x:v>Visita agendada</x:v>
      </x:c>
      <x:c r="J5" s="5" t="str">
        <x:v>Mostrar huecos reales y valor boutique</x:v>
      </x:c>
    </x:row>
    <x:row r="6">
      <x:c r="A6" s="5" t="str">
        <x:v>C-2421</x:v>
      </x:c>
      <x:c r="B6" s="5" t="str">
        <x:v>2026-05-25</x:v>
      </x:c>
      <x:c r="C6" s="5" t="str">
        <x:v>Daniel Bosch</x:v>
      </x:c>
      <x:c r="D6" s="5" t="str">
        <x:v>O2CW Parc del Migdia</x:v>
      </x:c>
      <x:c r="E6" s="5" t="str">
        <x:v>Referral socio</x:v>
      </x:c>
      <x:c r="F6" s="5" t="str">
        <x:v>Natacion y fuerza para triatlon</x:v>
      </x:c>
      <x:c r="G6" s="5" t="str">
        <x:v>Distancia; horario piscina</x:v>
      </x:c>
      <x:c r="H6" s="5" t="n">
        <x:v>78</x:v>
      </x:c>
      <x:c r="I6" s="5" t="str">
        <x:v>Contactado</x:v>
      </x:c>
      <x:c r="J6" s="5" t="str">
        <x:v>Enviar plan piscina + fuerza + On Demand</x:v>
      </x:c>
    </x:row>
    <x:row r="7">
      <x:c r="A7" s="5" t="str">
        <x:v>C-2422</x:v>
      </x:c>
      <x:c r="B7" s="5" t="str">
        <x:v>2026-05-24</x:v>
      </x:c>
      <x:c r="C7" s="5" t="str">
        <x:v>Sandra Rivas</x:v>
      </x:c>
      <x:c r="D7" s="5" t="str">
        <x:v>O2CW Malaga</x:v>
      </x:c>
      <x:c r="E7" s="5" t="str">
        <x:v>Dia de prueba</x:v>
      </x:c>
      <x:c r="F7" s="5" t="str">
        <x:v>Recuperacion lesion y spa post-entreno</x:v>
      </x:c>
      <x:c r="G7" s="5" t="str">
        <x:v>Compromiso</x:v>
      </x:c>
      <x:c r="H7" s="5" t="n">
        <x:v>93</x:v>
      </x:c>
      <x:c r="I7" s="5" t="str">
        <x:v>Alta probable</x:v>
      </x:c>
      <x:c r="J7" s="5" t="str">
        <x:v>Cita con fisio y plan Recovery Plus</x:v>
      </x:c>
    </x:row>
    <x:row r="8">
      <x:c r="A8" s="5" t="str">
        <x:v>C-2423</x:v>
      </x:c>
      <x:c r="B8" s="5" t="str">
        <x:v>2026-05-24</x:v>
      </x:c>
      <x:c r="C8" s="5" t="str">
        <x:v>Pablo Nieto</x:v>
      </x:c>
      <x:c r="D8" s="5" t="str">
        <x:v>O2CW Granada</x:v>
      </x:c>
      <x:c r="E8" s="5" t="str">
        <x:v>WhatsApp comercial</x:v>
      </x:c>
      <x:c r="F8" s="5" t="str">
        <x:v>Padel y sala fitness con amigos</x:v>
      </x:c>
      <x:c r="G8" s="5" t="str">
        <x:v>Saturacion pistas</x:v>
      </x:c>
      <x:c r="H8" s="5" t="n">
        <x:v>69</x:v>
      </x:c>
      <x:c r="I8" s="5" t="str">
        <x:v>Seguimiento</x:v>
      </x:c>
      <x:c r="J8" s="5" t="str">
        <x:v>Enviar disponibilidad real fuera de pico</x:v>
      </x:c>
    </x:row>
    <x:row r="9">
      <x:c r="A9" s="5" t="str">
        <x:v>C-2424</x:v>
      </x:c>
      <x:c r="B9" s="5" t="str">
        <x:v>2026-05-23</x:v>
      </x:c>
      <x:c r="C9" s="5" t="str">
        <x:v>Laura Esteve</x:v>
      </x:c>
      <x:c r="D9" s="5" t="str">
        <x:v>O2CW Huelva</x:v>
      </x:c>
      <x:c r="E9" s="5" t="str">
        <x:v>Web</x:v>
      </x:c>
      <x:c r="F9" s="5" t="str">
        <x:v>Plan familiar con piscina infantil</x:v>
      </x:c>
      <x:c r="G9" s="5" t="str">
        <x:v>Curso natacion</x:v>
      </x:c>
      <x:c r="H9" s="5" t="n">
        <x:v>74</x:v>
      </x:c>
      <x:c r="I9" s="5" t="str">
        <x:v>Visita agendada</x:v>
      </x:c>
      <x:c r="J9" s="5" t="str">
        <x:v>Proponer Family Wellness con cupo curso</x:v>
      </x:c>
    </x:row>
    <x:row r="10">
      <x:c r="A10" s="5" t="str">
        <x:v>C-2425</x:v>
      </x:c>
      <x:c r="B10" s="5" t="str">
        <x:v>2026-05-23</x:v>
      </x:c>
      <x:c r="C10" s="5" t="str">
        <x:v>Marc Oliva</x:v>
      </x:c>
      <x:c r="D10" s="5" t="str">
        <x:v>O2CW Boutique Barcelona</x:v>
      </x:c>
      <x:c r="E10" s="5" t="str">
        <x:v>Evento corporativo</x:v>
      </x:c>
      <x:c r="F10" s="5" t="str">
        <x:v>Entrenamiento funcional cerca oficina</x:v>
      </x:c>
      <x:c r="G10" s="5" t="str">
        <x:v>Contrato empresa</x:v>
      </x:c>
      <x:c r="H10" s="5" t="n">
        <x:v>67</x:v>
      </x:c>
      <x:c r="I10" s="5" t="str">
        <x:v>Contactado</x:v>
      </x:c>
      <x:c r="J10" s="5" t="str">
        <x:v>Preparar propuesta corporate flexible</x:v>
      </x:c>
    </x:row>
    <x:row r="11">
      <x:c r="A11" s="5" t="str">
        <x:v>C-2426</x:v>
      </x:c>
      <x:c r="B11" s="5" t="str">
        <x:v>2026-05-22</x:v>
      </x:c>
      <x:c r="C11" s="5" t="str">
        <x:v>Elena Moya</x:v>
      </x:c>
      <x:c r="D11" s="5" t="str">
        <x:v>O2CW Manuel Becerra</x:v>
      </x:c>
      <x:c r="E11" s="5" t="str">
        <x:v>Telefono</x:v>
      </x:c>
      <x:c r="F11" s="5" t="str">
        <x:v>Fuerza, ZONE y fisioterapia preventiva</x:v>
      </x:c>
      <x:c r="G11" s="5" t="str">
        <x:v>Parking</x:v>
      </x:c>
      <x:c r="H11" s="5" t="n">
        <x:v>81</x:v>
      </x:c>
      <x:c r="I11" s="5" t="str">
        <x:v>Alta probable</x:v>
      </x:c>
      <x:c r="J11" s="5" t="str">
        <x:v>Invitacion ZONE + sesion fisio</x:v>
      </x:c>
    </x:row>
    <x:row r="12">
      <x:c r="A12" s="5" t="str">
        <x:v>C-2427</x:v>
      </x:c>
      <x:c r="B12" s="5" t="str">
        <x:v>2026-05-22</x:v>
      </x:c>
      <x:c r="C12" s="5" t="str">
        <x:v>Victor Sancho</x:v>
      </x:c>
      <x:c r="D12" s="5" t="str">
        <x:v>O2CW Sexta Avenida</x:v>
      </x:c>
      <x:c r="E12" s="5" t="str">
        <x:v>Google Ads</x:v>
      </x:c>
      <x:c r="F12" s="5" t="str">
        <x:v>Cambio desde low-cost a experiencia premium</x:v>
      </x:c>
      <x:c r="G12" s="5" t="str">
        <x:v>Precio; permanencia</x:v>
      </x:c>
      <x:c r="H12" s="5" t="n">
        <x:v>58</x:v>
      </x:c>
      <x:c r="I12" s="5" t="str">
        <x:v>Nutrir</x:v>
      </x:c>
      <x:c r="J12" s="5" t="str">
        <x:v>Enviar comparativa de valor premium</x:v>
      </x:c>
    </x:row>
  </x:sheetData>
  <x:pageMargins left="0.7" right="0.7" top="0.75" bottom="0.75" header="0.3" footer="0.3"/>
  <x:tableParts count="1">
    <x:tablePart xmlns:r="http://schemas.openxmlformats.org/officeDocument/2006/relationships" r:id="R784e59b843be42f8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78000020980835" hidden="0" customWidth="1"/>
    <x:col min="2" max="2" width="13.5600004196167" hidden="0" customWidth="1"/>
    <x:col min="3" max="3" width="20.110000610351562" hidden="0" customWidth="1"/>
    <x:col min="4" max="4" width="12.5600004196167" hidden="0" customWidth="1"/>
    <x:col min="5" max="5" width="8" hidden="0" customWidth="1"/>
    <x:col min="6" max="6" width="12" hidden="0" customWidth="1"/>
    <x:col min="7" max="7" width="9.220000267028809" hidden="0" customWidth="1"/>
    <x:col min="8" max="8" width="9.670000076293945" hidden="0" customWidth="1"/>
    <x:col min="9" max="9" width="35.11000061035156" hidden="0" customWidth="1"/>
  </x:cols>
  <x:sheetData>
    <x:row r="1">
      <x:c r="A1" s="3" t="str">
        <x:v>id_aforo</x:v>
      </x:c>
      <x:c r="B1" s="3" t="str">
        <x:v>fecha_hora</x:v>
      </x:c>
      <x:c r="C1" s="3" t="str">
        <x:v>club</x:v>
      </x:c>
      <x:c r="D1" s="3" t="str">
        <x:v>zona</x:v>
      </x:c>
      <x:c r="E1" s="3" t="str">
        <x:v>tipo_zona</x:v>
      </x:c>
      <x:c r="F1" s="3" t="str">
        <x:v>ocupacion_pct</x:v>
      </x:c>
      <x:c r="G1" s="3" t="str">
        <x:v>umbral_pct</x:v>
      </x:c>
      <x:c r="H1" s="3" t="str">
        <x:v>estado</x:v>
      </x:c>
      <x:c r="I1" s="3" t="str">
        <x:v>accion_recomendada</x:v>
      </x:c>
    </x:row>
    <x:row r="2">
      <x:c r="A2" s="5" t="str">
        <x:v>AF-001</x:v>
      </x:c>
      <x:c r="B2" s="5" t="str">
        <x:v>2026-05-25 18:30</x:v>
      </x:c>
      <x:c r="C2" s="5" t="str">
        <x:v>O2CW Malaga</x:v>
      </x:c>
      <x:c r="D2" s="5" t="str">
        <x:v>Padel</x:v>
      </x:c>
      <x:c r="E2" s="5" t="str">
        <x:v>padel</x:v>
      </x:c>
      <x:c r="F2" s="5" t="n">
        <x:v>94</x:v>
      </x:c>
      <x:c r="G2" s="5" t="n">
        <x:v>85</x:v>
      </x:c>
      <x:c r="H2" s="5" t="str">
        <x:v>Saturado</x:v>
      </x:c>
      <x:c r="I2" s="5" t="str">
        <x:v>Abrir lista de espera y sugerir franja 21:00</x:v>
      </x:c>
    </x:row>
    <x:row r="3">
      <x:c r="A3" s="5" t="str">
        <x:v>AF-002</x:v>
      </x:c>
      <x:c r="B3" s="5" t="str">
        <x:v>2026-05-25 18:30</x:v>
      </x:c>
      <x:c r="C3" s="5" t="str">
        <x:v>O2CW Manuel Becerra</x:v>
      </x:c>
      <x:c r="D3" s="5" t="str">
        <x:v>Spa</x:v>
      </x:c>
      <x:c r="E3" s="5" t="str">
        <x:v>spa</x:v>
      </x:c>
      <x:c r="F3" s="5" t="n">
        <x:v>88</x:v>
      </x:c>
      <x:c r="G3" s="5" t="n">
        <x:v>80</x:v>
      </x:c>
      <x:c r="H3" s="5" t="str">
        <x:v>Tension</x:v>
      </x:c>
      <x:c r="I3" s="5" t="str">
        <x:v>Aviso app y refuerzo limpieza</x:v>
      </x:c>
    </x:row>
    <x:row r="4">
      <x:c r="A4" s="5" t="str">
        <x:v>AF-003</x:v>
      </x:c>
      <x:c r="B4" s="5" t="str">
        <x:v>2026-05-25 18:30</x:v>
      </x:c>
      <x:c r="C4" s="5" t="str">
        <x:v>O2CW Granada</x:v>
      </x:c>
      <x:c r="D4" s="5" t="str">
        <x:v>Piscina</x:v>
      </x:c>
      <x:c r="E4" s="5" t="str">
        <x:v>piscina</x:v>
      </x:c>
      <x:c r="F4" s="5" t="n">
        <x:v>76</x:v>
      </x:c>
      <x:c r="G4" s="5" t="n">
        <x:v>82</x:v>
      </x:c>
      <x:c r="H4" s="5" t="str">
        <x:v>Controlado</x:v>
      </x:c>
      <x:c r="I4" s="5" t="str">
        <x:v>Mantener monitorizacion</x:v>
      </x:c>
    </x:row>
    <x:row r="5">
      <x:c r="A5" s="5" t="str">
        <x:v>AF-004</x:v>
      </x:c>
      <x:c r="B5" s="5" t="str">
        <x:v>2026-05-25 18:30</x:v>
      </x:c>
      <x:c r="C5" s="5" t="str">
        <x:v>O2CW Huelva</x:v>
      </x:c>
      <x:c r="D5" s="5" t="str">
        <x:v>Sala fitness</x:v>
      </x:c>
      <x:c r="E5" s="5" t="str">
        <x:v>fitness</x:v>
      </x:c>
      <x:c r="F5" s="5" t="n">
        <x:v>82</x:v>
      </x:c>
      <x:c r="G5" s="5" t="n">
        <x:v>84</x:v>
      </x:c>
      <x:c r="H5" s="5" t="str">
        <x:v>Tension</x:v>
      </x:c>
      <x:c r="I5" s="5" t="str">
        <x:v>Refuerzo tecnico 19:00-20:30</x:v>
      </x:c>
    </x:row>
    <x:row r="6">
      <x:c r="A6" s="5" t="str">
        <x:v>AF-005</x:v>
      </x:c>
      <x:c r="B6" s="5" t="str">
        <x:v>2026-05-25 20:00</x:v>
      </x:c>
      <x:c r="C6" s="5" t="str">
        <x:v>O2CW Sexta Avenida</x:v>
      </x:c>
      <x:c r="D6" s="5" t="str">
        <x:v>ZONE</x:v>
      </x:c>
      <x:c r="E6" s="5" t="str">
        <x:v>dirigida</x:v>
      </x:c>
      <x:c r="F6" s="5" t="n">
        <x:v>91</x:v>
      </x:c>
      <x:c r="G6" s="5" t="n">
        <x:v>86</x:v>
      </x:c>
      <x:c r="H6" s="5" t="str">
        <x:v>Saturado</x:v>
      </x:c>
      <x:c r="I6" s="5" t="str">
        <x:v>Abrir clase espejo 20:30 si se repite</x:v>
      </x:c>
    </x:row>
    <x:row r="7">
      <x:c r="A7" s="5" t="str">
        <x:v>AF-006</x:v>
      </x:c>
      <x:c r="B7" s="5" t="str">
        <x:v>2026-05-25 19:30</x:v>
      </x:c>
      <x:c r="C7" s="5" t="str">
        <x:v>O2CW Boutique Madrid</x:v>
      </x:c>
      <x:c r="D7" s="5" t="str">
        <x:v>Pilates Reformer</x:v>
      </x:c>
      <x:c r="E7" s="5" t="str">
        <x:v>dirigida</x:v>
      </x:c>
      <x:c r="F7" s="5" t="n">
        <x:v>96</x:v>
      </x:c>
      <x:c r="G7" s="5" t="n">
        <x:v>88</x:v>
      </x:c>
      <x:c r="H7" s="5" t="str">
        <x:v>Saturado</x:v>
      </x:c>
      <x:c r="I7" s="5" t="str">
        <x:v>Priorizar lista de espera y franja 14:30</x:v>
      </x:c>
    </x:row>
    <x:row r="8">
      <x:c r="A8" s="5" t="str">
        <x:v>AF-007</x:v>
      </x:c>
      <x:c r="B8" s="5" t="str">
        <x:v>2026-05-25 18:00</x:v>
      </x:c>
      <x:c r="C8" s="5" t="str">
        <x:v>O2CW Huelva</x:v>
      </x:c>
      <x:c r="D8" s="5" t="str">
        <x:v>Piscina cursos</x:v>
      </x:c>
      <x:c r="E8" s="5" t="str">
        <x:v>piscina</x:v>
      </x:c>
      <x:c r="F8" s="5" t="n">
        <x:v>89</x:v>
      </x:c>
      <x:c r="G8" s="5" t="n">
        <x:v>84</x:v>
      </x:c>
      <x:c r="H8" s="5" t="str">
        <x:v>Tension</x:v>
      </x:c>
      <x:c r="I8" s="5" t="str">
        <x:v>Revisar cupos familiares y monitor apoyo</x:v>
      </x:c>
    </x:row>
    <x:row r="9">
      <x:c r="A9" s="5" t="str">
        <x:v>AF-008</x:v>
      </x:c>
      <x:c r="B9" s="5" t="str">
        <x:v>2026-05-25 07:30</x:v>
      </x:c>
      <x:c r="C9" s="5" t="str">
        <x:v>O2CW Parc del Migdia</x:v>
      </x:c>
      <x:c r="D9" s="5" t="str">
        <x:v>Running club</x:v>
      </x:c>
      <x:c r="E9" s="5" t="str">
        <x:v>outdoor</x:v>
      </x:c>
      <x:c r="F9" s="5" t="n">
        <x:v>52</x:v>
      </x:c>
      <x:c r="G9" s="5" t="n">
        <x:v>75</x:v>
      </x:c>
      <x:c r="H9" s="5" t="str">
        <x:v>Oportunidad</x:v>
      </x:c>
      <x:c r="I9" s="5" t="str">
        <x:v>Lanzar grupo martes jueves manana</x:v>
      </x:c>
    </x:row>
    <x:row r="10">
      <x:c r="A10" s="5" t="str">
        <x:v>AF-009</x:v>
      </x:c>
      <x:c r="B10" s="5" t="str">
        <x:v>2026-05-25 20:00</x:v>
      </x:c>
      <x:c r="C10" s="5" t="str">
        <x:v>O2CW Manuel Becerra</x:v>
      </x:c>
      <x:c r="D10" s="5" t="str">
        <x:v>ZONE</x:v>
      </x:c>
      <x:c r="E10" s="5" t="str">
        <x:v>dirigida</x:v>
      </x:c>
      <x:c r="F10" s="5" t="n">
        <x:v>93</x:v>
      </x:c>
      <x:c r="G10" s="5" t="n">
        <x:v>86</x:v>
      </x:c>
      <x:c r="H10" s="5" t="str">
        <x:v>Saturado</x:v>
      </x:c>
      <x:c r="I10" s="5" t="str">
        <x:v>Mensaje SoyO2 con clase alternativa</x:v>
      </x:c>
    </x:row>
    <x:row r="11">
      <x:c r="A11" s="5" t="str">
        <x:v>AF-010</x:v>
      </x:c>
      <x:c r="B11" s="5" t="str">
        <x:v>2026-05-25 18:30</x:v>
      </x:c>
      <x:c r="C11" s="5" t="str">
        <x:v>O2CW Boutique Barcelona</x:v>
      </x:c>
      <x:c r="D11" s="5" t="str">
        <x:v>Body&amp;Soul</x:v>
      </x:c>
      <x:c r="E11" s="5" t="str">
        <x:v>dirigida</x:v>
      </x:c>
      <x:c r="F11" s="5" t="n">
        <x:v>69</x:v>
      </x:c>
      <x:c r="G11" s="5" t="n">
        <x:v>78</x:v>
      </x:c>
      <x:c r="H11" s="5" t="str">
        <x:v>Controlado</x:v>
      </x:c>
      <x:c r="I11" s="5" t="str">
        <x:v>Recomendar clase alternativa si sube demanda</x:v>
      </x:c>
    </x:row>
    <x:row r="12">
      <x:c r="A12" s="5" t="str">
        <x:v>AF-011</x:v>
      </x:c>
      <x:c r="B12" s="5" t="str">
        <x:v>2026-05-25 18:30</x:v>
      </x:c>
      <x:c r="C12" s="5" t="str">
        <x:v>O2CW Parc del Migdia</x:v>
      </x:c>
      <x:c r="D12" s="5" t="str">
        <x:v>Cycling</x:v>
      </x:c>
      <x:c r="E12" s="5" t="str">
        <x:v>dirigida</x:v>
      </x:c>
      <x:c r="F12" s="5" t="n">
        <x:v>64</x:v>
      </x:c>
      <x:c r="G12" s="5" t="n">
        <x:v>80</x:v>
      </x:c>
      <x:c r="H12" s="5" t="str">
        <x:v>Controlado</x:v>
      </x:c>
      <x:c r="I12" s="5" t="str">
        <x:v>Sin accion</x:v>
      </x:c>
    </x:row>
    <x:row r="13">
      <x:c r="A13" s="5" t="str">
        <x:v>AF-012</x:v>
      </x:c>
      <x:c r="B13" s="5" t="str">
        <x:v>2026-05-25 19:30</x:v>
      </x:c>
      <x:c r="C13" s="5" t="str">
        <x:v>O2CW Sexta Avenida</x:v>
      </x:c>
      <x:c r="D13" s="5" t="str">
        <x:v>Sala fitness</x:v>
      </x:c>
      <x:c r="E13" s="5" t="str">
        <x:v>fitness</x:v>
      </x:c>
      <x:c r="F13" s="5" t="n">
        <x:v>87</x:v>
      </x:c>
      <x:c r="G13" s="5" t="n">
        <x:v>84</x:v>
      </x:c>
      <x:c r="H13" s="5" t="str">
        <x:v>Tension</x:v>
      </x:c>
      <x:c r="I13" s="5" t="str">
        <x:v>Refuerzo tecnico en zona fuerza</x:v>
      </x:c>
    </x:row>
    <x:row r="14">
      <x:c r="A14" s="5" t="str">
        <x:v>AF-013</x:v>
      </x:c>
      <x:c r="B14" s="5" t="str">
        <x:v>2026-05-25 18:00</x:v>
      </x:c>
      <x:c r="C14" s="5" t="str">
        <x:v>O2CW Boutique Girona</x:v>
      </x:c>
      <x:c r="D14" s="5" t="str">
        <x:v>Yoga</x:v>
      </x:c>
      <x:c r="E14" s="5" t="str">
        <x:v>dirigida</x:v>
      </x:c>
      <x:c r="F14" s="5" t="n">
        <x:v>73</x:v>
      </x:c>
      <x:c r="G14" s="5" t="n">
        <x:v>80</x:v>
      </x:c>
      <x:c r="H14" s="5" t="str">
        <x:v>Controlado</x:v>
      </x:c>
      <x:c r="I14" s="5" t="str">
        <x:v>Mantener cupo y monitorizar waitlist</x:v>
      </x:c>
    </x:row>
    <x:row r="15">
      <x:c r="A15" s="5" t="str">
        <x:v>AF-014</x:v>
      </x:c>
      <x:c r="B15" s="5" t="str">
        <x:v>2026-05-25 18:45</x:v>
      </x:c>
      <x:c r="C15" s="5" t="str">
        <x:v>O2CW Boutique Barcelona</x:v>
      </x:c>
      <x:c r="D15" s="5" t="str">
        <x:v>Sauna</x:v>
      </x:c>
      <x:c r="E15" s="5" t="str">
        <x:v>spa</x:v>
      </x:c>
      <x:c r="F15" s="5" t="n">
        <x:v>78</x:v>
      </x:c>
      <x:c r="G15" s="5" t="n">
        <x:v>80</x:v>
      </x:c>
      <x:c r="H15" s="5" t="str">
        <x:v>Controlado</x:v>
      </x:c>
      <x:c r="I15" s="5" t="str">
        <x:v>Sin accion</x:v>
      </x:c>
    </x:row>
  </x:sheetData>
  <x:pageMargins left="0.7" right="0.7" top="0.75" bottom="0.75" header="0.3" footer="0.3"/>
  <x:tableParts count="1">
    <x:tablePart xmlns:r="http://schemas.openxmlformats.org/officeDocument/2006/relationships" r:id="R5718dadfe8874c09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440000057220459" hidden="0" customWidth="1"/>
    <x:col min="2" max="2" width="18" hidden="0" customWidth="1"/>
    <x:col min="3" max="3" width="21.219999313354492" hidden="0" customWidth="1"/>
    <x:col min="4" max="4" width="8.5600004196167" hidden="0" customWidth="1"/>
    <x:col min="5" max="5" width="10.779999732971191" hidden="0" customWidth="1"/>
    <x:col min="6" max="6" width="10.890000343322754" hidden="0" customWidth="1"/>
    <x:col min="7" max="7" width="9.670000076293945" hidden="0" customWidth="1"/>
    <x:col min="8" max="8" width="27" hidden="0" customWidth="1"/>
    <x:col min="9" max="9" width="11.670000076293945" hidden="0" customWidth="1"/>
  </x:cols>
  <x:sheetData>
    <x:row r="1">
      <x:c r="A1" s="8" t="str">
        <x:v>id_activo</x:v>
      </x:c>
      <x:c r="B1" s="8" t="str">
        <x:v>club</x:v>
      </x:c>
      <x:c r="C1" s="8" t="str">
        <x:v>instalacion</x:v>
      </x:c>
      <x:c r="D1" s="8" t="str">
        <x:v>horas_uso</x:v>
      </x:c>
      <x:c r="E1" s="8" t="str">
        <x:v>umbral_aviso</x:v>
      </x:c>
      <x:c r="F1" s="8" t="str">
        <x:v>riesgo_averia</x:v>
      </x:c>
      <x:c r="G1" s="8" t="str">
        <x:v>estado</x:v>
      </x:c>
      <x:c r="H1" s="8" t="str">
        <x:v>accion</x:v>
      </x:c>
      <x:c r="I1" s="8" t="str">
        <x:v>fecha_revision</x:v>
      </x:c>
    </x:row>
    <x:row r="2">
      <x:c r="A2" s="5" t="str">
        <x:v>M-447</x:v>
      </x:c>
      <x:c r="B2" s="5" t="str">
        <x:v>O2CW Malaga</x:v>
      </x:c>
      <x:c r="C2" s="5" t="str">
        <x:v>Sauna seca</x:v>
      </x:c>
      <x:c r="D2" s="5" t="n">
        <x:v>392</x:v>
      </x:c>
      <x:c r="E2" s="5" t="n">
        <x:v>420</x:v>
      </x:c>
      <x:c r="F2" s="5" t="n">
        <x:v>84</x:v>
      </x:c>
      <x:c r="G2" s="5" t="str">
        <x:v>Preventivo</x:v>
      </x:c>
      <x:c r="H2" s="5" t="str">
        <x:v>Revision resistencia y sensor</x:v>
      </x:c>
      <x:c r="I2" s="5" t="str">
        <x:v>2026-05-27</x:v>
      </x:c>
    </x:row>
    <x:row r="3">
      <x:c r="A3" s="5" t="str">
        <x:v>M-441</x:v>
      </x:c>
      <x:c r="B3" s="5" t="str">
        <x:v>O2CW Granada</x:v>
      </x:c>
      <x:c r="C3" s="5" t="str">
        <x:v>Duchas vestuario</x:v>
      </x:c>
      <x:c r="D3" s="5" t="n">
        <x:v>1180</x:v>
      </x:c>
      <x:c r="E3" s="5" t="n">
        <x:v>1300</x:v>
      </x:c>
      <x:c r="F3" s="5" t="n">
        <x:v>68</x:v>
      </x:c>
      <x:c r="G3" s="5" t="str">
        <x:v>Observacion</x:v>
      </x:c>
      <x:c r="H3" s="5" t="str">
        <x:v>Inspeccion caudal y juntas</x:v>
      </x:c>
      <x:c r="I3" s="5" t="str">
        <x:v>2026-05-29</x:v>
      </x:c>
    </x:row>
    <x:row r="4">
      <x:c r="A4" s="5" t="str">
        <x:v>M-430</x:v>
      </x:c>
      <x:c r="B4" s="5" t="str">
        <x:v>O2CW Huelva</x:v>
      </x:c>
      <x:c r="C4" s="5" t="str">
        <x:v>Cinta Technogym 04</x:v>
      </x:c>
      <x:c r="D4" s="5" t="n">
        <x:v>780</x:v>
      </x:c>
      <x:c r="E4" s="5" t="n">
        <x:v>1100</x:v>
      </x:c>
      <x:c r="F4" s="5" t="n">
        <x:v>42</x:v>
      </x:c>
      <x:c r="G4" s="5" t="str">
        <x:v>Normal</x:v>
      </x:c>
      <x:c r="H4" s="5" t="str">
        <x:v>Mantenimiento programado</x:v>
      </x:c>
      <x:c r="I4" s="5" t="str">
        <x:v>2026-06-04</x:v>
      </x:c>
    </x:row>
    <x:row r="5">
      <x:c r="A5" s="5" t="str">
        <x:v>M-422</x:v>
      </x:c>
      <x:c r="B5" s="5" t="str">
        <x:v>O2CW Manuel Becerra</x:v>
      </x:c>
      <x:c r="C5" s="5" t="str">
        <x:v>Bomba hidromasaje</x:v>
      </x:c>
      <x:c r="D5" s="5" t="n">
        <x:v>610</x:v>
      </x:c>
      <x:c r="E5" s="5" t="n">
        <x:v>680</x:v>
      </x:c>
      <x:c r="F5" s="5" t="n">
        <x:v>73</x:v>
      </x:c>
      <x:c r="G5" s="5" t="str">
        <x:v>Preventivo</x:v>
      </x:c>
      <x:c r="H5" s="5" t="str">
        <x:v>Cambio filtro y check vibracion</x:v>
      </x:c>
      <x:c r="I5" s="5" t="str">
        <x:v>2026-05-28</x:v>
      </x:c>
    </x:row>
    <x:row r="6">
      <x:c r="A6" s="5" t="str">
        <x:v>M-501</x:v>
      </x:c>
      <x:c r="B6" s="5" t="str">
        <x:v>O2CW Sexta Avenida</x:v>
      </x:c>
      <x:c r="C6" s="5" t="str">
        <x:v>Sistema climatizacion ZONE</x:v>
      </x:c>
      <x:c r="D6" s="5" t="n">
        <x:v>1260</x:v>
      </x:c>
      <x:c r="E6" s="5" t="n">
        <x:v>1400</x:v>
      </x:c>
      <x:c r="F6" s="5" t="n">
        <x:v>78</x:v>
      </x:c>
      <x:c r="G6" s="5" t="str">
        <x:v>Preventivo</x:v>
      </x:c>
      <x:c r="H6" s="5" t="str">
        <x:v>Revision filtros y caudal</x:v>
      </x:c>
      <x:c r="I6" s="5" t="str">
        <x:v>2026-05-30</x:v>
      </x:c>
    </x:row>
    <x:row r="7">
      <x:c r="A7" s="5" t="str">
        <x:v>M-502</x:v>
      </x:c>
      <x:c r="B7" s="5" t="str">
        <x:v>O2CW Boutique Madrid</x:v>
      </x:c>
      <x:c r="C7" s="5" t="str">
        <x:v>Reformer 07</x:v>
      </x:c>
      <x:c r="D7" s="5" t="n">
        <x:v>860</x:v>
      </x:c>
      <x:c r="E7" s="5" t="n">
        <x:v>920</x:v>
      </x:c>
      <x:c r="F7" s="5" t="n">
        <x:v>72</x:v>
      </x:c>
      <x:c r="G7" s="5" t="str">
        <x:v>Preventivo</x:v>
      </x:c>
      <x:c r="H7" s="5" t="str">
        <x:v>Cambio muelles y check seguridad</x:v>
      </x:c>
      <x:c r="I7" s="5" t="str">
        <x:v>2026-05-29</x:v>
      </x:c>
    </x:row>
    <x:row r="8">
      <x:c r="A8" s="5" t="str">
        <x:v>M-503</x:v>
      </x:c>
      <x:c r="B8" s="5" t="str">
        <x:v>O2CW Granada</x:v>
      </x:c>
      <x:c r="C8" s="5" t="str">
        <x:v>Iluminacion pista padel 3</x:v>
      </x:c>
      <x:c r="D8" s="5" t="n">
        <x:v>540</x:v>
      </x:c>
      <x:c r="E8" s="5" t="n">
        <x:v>620</x:v>
      </x:c>
      <x:c r="F8" s="5" t="n">
        <x:v>69</x:v>
      </x:c>
      <x:c r="G8" s="5" t="str">
        <x:v>Observacion</x:v>
      </x:c>
      <x:c r="H8" s="5" t="str">
        <x:v>Inspeccion electrica</x:v>
      </x:c>
      <x:c r="I8" s="5" t="str">
        <x:v>2026-05-31</x:v>
      </x:c>
    </x:row>
    <x:row r="9">
      <x:c r="A9" s="5" t="str">
        <x:v>M-504</x:v>
      </x:c>
      <x:c r="B9" s="5" t="str">
        <x:v>O2CW Huelva</x:v>
      </x:c>
      <x:c r="C9" s="5" t="str">
        <x:v>Filtro piscina infantil</x:v>
      </x:c>
      <x:c r="D9" s="5" t="n">
        <x:v>1010</x:v>
      </x:c>
      <x:c r="E9" s="5" t="n">
        <x:v>1080</x:v>
      </x:c>
      <x:c r="F9" s="5" t="n">
        <x:v>81</x:v>
      </x:c>
      <x:c r="G9" s="5" t="str">
        <x:v>Preventivo</x:v>
      </x:c>
      <x:c r="H9" s="5" t="str">
        <x:v>Lavado y repuesto antes del sabado</x:v>
      </x:c>
      <x:c r="I9" s="5" t="str">
        <x:v>2026-05-28</x:v>
      </x:c>
    </x:row>
    <x:row r="10">
      <x:c r="A10" s="5" t="str">
        <x:v>M-505</x:v>
      </x:c>
      <x:c r="B10" s="5" t="str">
        <x:v>O2CW Parc del Migdia</x:v>
      </x:c>
      <x:c r="C10" s="5" t="str">
        <x:v>Bicicletas cycling bloque B</x:v>
      </x:c>
      <x:c r="D10" s="5" t="n">
        <x:v>740</x:v>
      </x:c>
      <x:c r="E10" s="5" t="n">
        <x:v>1000</x:v>
      </x:c>
      <x:c r="F10" s="5" t="n">
        <x:v>51</x:v>
      </x:c>
      <x:c r="G10" s="5" t="str">
        <x:v>Normal</x:v>
      </x:c>
      <x:c r="H10" s="5" t="str">
        <x:v>Mantenimiento mensual</x:v>
      </x:c>
      <x:c r="I10" s="5" t="str">
        <x:v>2026-06-06</x:v>
      </x:c>
    </x:row>
    <x:row r="11">
      <x:c r="A11" s="5" t="str">
        <x:v>M-506</x:v>
      </x:c>
      <x:c r="B11" s="5" t="str">
        <x:v>O2CW Boutique Girona</x:v>
      </x:c>
      <x:c r="C11" s="5" t="str">
        <x:v>Sauna boutique</x:v>
      </x:c>
      <x:c r="D11" s="5" t="n">
        <x:v>390</x:v>
      </x:c>
      <x:c r="E11" s="5" t="n">
        <x:v>520</x:v>
      </x:c>
      <x:c r="F11" s="5" t="n">
        <x:v>58</x:v>
      </x:c>
      <x:c r="G11" s="5" t="str">
        <x:v>Normal</x:v>
      </x:c>
      <x:c r="H11" s="5" t="str">
        <x:v>Seguimiento temperatura</x:v>
      </x:c>
      <x:c r="I11" s="5" t="str">
        <x:v>2026-06-03</x:v>
      </x:c>
    </x:row>
  </x:sheetData>
  <x:pageMargins left="0.7" right="0.7" top="0.75" bottom="0.75" header="0.3" footer="0.3"/>
  <x:tableParts count="1">
    <x:tablePart xmlns:r="http://schemas.openxmlformats.org/officeDocument/2006/relationships" r:id="Ra73d499555f24198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670000076293945" hidden="0" customWidth="1"/>
    <x:col min="2" max="2" width="11.329999923706055" hidden="0" customWidth="1"/>
    <x:col min="3" max="3" width="18" hidden="0" customWidth="1"/>
    <x:col min="4" max="4" width="14.329999923706055" hidden="0" customWidth="1"/>
    <x:col min="5" max="5" width="7.559999942779541" hidden="0" customWidth="1"/>
    <x:col min="6" max="6" width="9.4399995803833" hidden="0" customWidth="1"/>
    <x:col min="7" max="7" width="45.560001373291016" hidden="0" customWidth="1"/>
    <x:col min="8" max="8" width="12.329999923706055" hidden="0" customWidth="1"/>
  </x:cols>
  <x:sheetData>
    <x:row r="1">
      <x:c r="A1" s="11" t="str">
        <x:v>id_tarea</x:v>
      </x:c>
      <x:c r="B1" s="11" t="str">
        <x:v>categoria</x:v>
      </x:c>
      <x:c r="C1" s="11" t="str">
        <x:v>club</x:v>
      </x:c>
      <x:c r="D1" s="11" t="str">
        <x:v>responsable</x:v>
      </x:c>
      <x:c r="E1" s="11" t="str">
        <x:v>prioridad</x:v>
      </x:c>
      <x:c r="F1" s="11" t="str">
        <x:v>estado</x:v>
      </x:c>
      <x:c r="G1" s="11" t="str">
        <x:v>descripcion</x:v>
      </x:c>
      <x:c r="H1" s="11" t="str">
        <x:v>fecha_creacion</x:v>
      </x:c>
    </x:row>
    <x:row r="2">
      <x:c r="A2" s="5" t="str">
        <x:v>T-801</x:v>
      </x:c>
      <x:c r="B2" s="5" t="str">
        <x:v>Retencion</x:v>
      </x:c>
      <x:c r="C2" s="5" t="str">
        <x:v>O2CW Manuel Becerra</x:v>
      </x:c>
      <x:c r="D2" s="5" t="str">
        <x:v>Customer Success</x:v>
      </x:c>
      <x:c r="E2" s="5" t="str">
        <x:v>Alta</x:v>
      </x:c>
      <x:c r="F2" s="5" t="str">
        <x:v>Hoy</x:v>
      </x:c>
      <x:c r="G2" s="5" t="str">
        <x:v>Llamar a Clara Valera con propuesta spa + rutina.</x:v>
      </x:c>
      <x:c r="H2" s="5" t="str">
        <x:v>2026-05-25</x:v>
      </x:c>
    </x:row>
    <x:row r="3">
      <x:c r="A3" s="5" t="str">
        <x:v>T-790</x:v>
      </x:c>
      <x:c r="B3" s="5" t="str">
        <x:v>Experiencia</x:v>
      </x:c>
      <x:c r="C3" s="5" t="str">
        <x:v>O2CW Malaga</x:v>
      </x:c>
      <x:c r="D3" s="5" t="str">
        <x:v>Club manager</x:v>
      </x:c>
      <x:c r="E3" s="5" t="str">
        <x:v>Alta</x:v>
      </x:c>
      <x:c r="F3" s="5" t="str">
        <x:v>En curso</x:v>
      </x:c>
      <x:c r="G3" s="5" t="str">
        <x:v>Responder resena sobre sauna y validar mantenimiento.</x:v>
      </x:c>
      <x:c r="H3" s="5" t="str">
        <x:v>2026-05-24</x:v>
      </x:c>
    </x:row>
    <x:row r="4">
      <x:c r="A4" s="5" t="str">
        <x:v>T-772</x:v>
      </x:c>
      <x:c r="B4" s="5" t="str">
        <x:v>Aforo</x:v>
      </x:c>
      <x:c r="C4" s="5" t="str">
        <x:v>O2CW Malaga</x:v>
      </x:c>
      <x:c r="D4" s="5" t="str">
        <x:v>Operaciones</x:v>
      </x:c>
      <x:c r="E4" s="5" t="str">
        <x:v>Media</x:v>
      </x:c>
      <x:c r="F4" s="5" t="str">
        <x:v>Pendiente</x:v>
      </x:c>
      <x:c r="G4" s="5" t="str">
        <x:v>Redistribuir reservas de padel en hora punta.</x:v>
      </x:c>
      <x:c r="H4" s="5" t="str">
        <x:v>2026-05-24</x:v>
      </x:c>
    </x:row>
    <x:row r="5">
      <x:c r="A5" s="5" t="str">
        <x:v>T-843</x:v>
      </x:c>
      <x:c r="B5" s="5" t="str">
        <x:v>Retencion</x:v>
      </x:c>
      <x:c r="C5" s="5" t="str">
        <x:v>O2CW Malaga</x:v>
      </x:c>
      <x:c r="D5" s="5" t="str">
        <x:v>Experiencia</x:v>
      </x:c>
      <x:c r="E5" s="5" t="str">
        <x:v>Alta</x:v>
      </x:c>
      <x:c r="F5" s="5" t="str">
        <x:v>Hoy</x:v>
      </x:c>
      <x:c r="G5" s="5" t="str">
        <x:v>Contactar a Lucia Marin por caida de accesos y dolor spa.</x:v>
      </x:c>
      <x:c r="H5" s="5" t="str">
        <x:v>2026-05-25</x:v>
      </x:c>
    </x:row>
    <x:row r="6">
      <x:c r="A6" s="5" t="str">
        <x:v>T-844</x:v>
      </x:c>
      <x:c r="B6" s="5" t="str">
        <x:v>Natacion</x:v>
      </x:c>
      <x:c r="C6" s="5" t="str">
        <x:v>O2CW Sexta Avenida</x:v>
      </x:c>
      <x:c r="D6" s="5" t="str">
        <x:v>Coordinacion</x:v>
      </x:c>
      <x:c r="E6" s="5" t="str">
        <x:v>Alta</x:v>
      </x:c>
      <x:c r="F6" s="5" t="str">
        <x:v>Hoy</x:v>
      </x:c>
      <x:c r="G6" s="5" t="str">
        <x:v>Resolver lista de espera infantil y alternativas familiares.</x:v>
      </x:c>
      <x:c r="H6" s="5" t="str">
        <x:v>2026-05-25</x:v>
      </x:c>
    </x:row>
    <x:row r="7">
      <x:c r="A7" s="5" t="str">
        <x:v>T-845</x:v>
      </x:c>
      <x:c r="B7" s="5" t="str">
        <x:v>Comercial</x:v>
      </x:c>
      <x:c r="C7" s="5" t="str">
        <x:v>O2CW Boutique Madrid</x:v>
      </x:c>
      <x:c r="D7" s="5" t="str">
        <x:v>Ventas</x:v>
      </x:c>
      <x:c r="E7" s="5" t="str">
        <x:v>Media</x:v>
      </x:c>
      <x:c r="F7" s="5" t="str">
        <x:v>Pendiente</x:v>
      </x:c>
      <x:c r="G7" s="5" t="str">
        <x:v>Enviar disponibilidad real de Pilates Reformer a Beatriz Galan.</x:v>
      </x:c>
      <x:c r="H7" s="5" t="str">
        <x:v>2026-05-25</x:v>
      </x:c>
    </x:row>
    <x:row r="8">
      <x:c r="A8" s="5" t="str">
        <x:v>T-846</x:v>
      </x:c>
      <x:c r="B8" s="5" t="str">
        <x:v>Aforo</x:v>
      </x:c>
      <x:c r="C8" s="5" t="str">
        <x:v>O2CW Manuel Becerra</x:v>
      </x:c>
      <x:c r="D8" s="5" t="str">
        <x:v>Operaciones</x:v>
      </x:c>
      <x:c r="E8" s="5" t="str">
        <x:v>Media</x:v>
      </x:c>
      <x:c r="F8" s="5" t="str">
        <x:v>Ahora</x:v>
      </x:c>
      <x:c r="G8" s="5" t="str">
        <x:v>Recomendar clase ZONE alternativa por saturacion 20:00.</x:v>
      </x:c>
      <x:c r="H8" s="5" t="str">
        <x:v>2026-05-25</x:v>
      </x:c>
    </x:row>
    <x:row r="9">
      <x:c r="A9" s="5" t="str">
        <x:v>T-847</x:v>
      </x:c>
      <x:c r="B9" s="5" t="str">
        <x:v>Mantenimiento</x:v>
      </x:c>
      <x:c r="C9" s="5" t="str">
        <x:v>O2CW Huelva</x:v>
      </x:c>
      <x:c r="D9" s="5" t="str">
        <x:v>Tecnico</x:v>
      </x:c>
      <x:c r="E9" s="5" t="str">
        <x:v>Alta</x:v>
      </x:c>
      <x:c r="F9" s="5" t="str">
        <x:v>Programada</x:v>
      </x:c>
      <x:c r="G9" s="5" t="str">
        <x:v>Revisar filtro piscina infantil antes de actividad familiar.</x:v>
      </x:c>
      <x:c r="H9" s="5" t="str">
        <x:v>2026-05-25</x:v>
      </x:c>
    </x:row>
    <x:row r="10">
      <x:c r="A10" s="5" t="str">
        <x:v>T-848</x:v>
      </x:c>
      <x:c r="B10" s="5" t="str">
        <x:v>CX</x:v>
      </x:c>
      <x:c r="C10" s="5" t="str">
        <x:v>O2CW Granada</x:v>
      </x:c>
      <x:c r="D10" s="5" t="str">
        <x:v>Recepcion</x:v>
      </x:c>
      <x:c r="E10" s="5" t="str">
        <x:v>Media</x:v>
      </x:c>
      <x:c r="F10" s="5" t="str">
        <x:v>Nueva</x:v>
      </x:c>
      <x:c r="G10" s="5" t="str">
        <x:v>Unificar guion de disponibilidad de padel y waitlist.</x:v>
      </x:c>
      <x:c r="H10" s="5" t="str">
        <x:v>2026-05-25</x:v>
      </x:c>
    </x:row>
    <x:row r="11">
      <x:c r="A11" s="5" t="str">
        <x:v>T-849</x:v>
      </x:c>
      <x:c r="B11" s="5" t="str">
        <x:v>Producto</x:v>
      </x:c>
      <x:c r="C11" s="5" t="str">
        <x:v>O2CW Parc del Migdia</x:v>
      </x:c>
      <x:c r="D11" s="5" t="str">
        <x:v>Club manager</x:v>
      </x:c>
      <x:c r="E11" s="5" t="str">
        <x:v>Baja</x:v>
      </x:c>
      <x:c r="F11" s="5" t="str">
        <x:v>Nueva</x:v>
      </x:c>
      <x:c r="G11" s="5" t="str">
        <x:v>Probar running club por la manana con segmento outdoor.</x:v>
      </x:c>
      <x:c r="H11" s="5" t="str">
        <x:v>2026-05-25</x:v>
      </x:c>
    </x:row>
    <x:row r="12">
      <x:c r="A12" s="5" t="str">
        <x:v>T-850</x:v>
      </x:c>
      <x:c r="B12" s="5" t="str">
        <x:v>Comercial</x:v>
      </x:c>
      <x:c r="C12" s="5" t="str">
        <x:v>O2CW Sexta Avenida</x:v>
      </x:c>
      <x:c r="D12" s="5" t="str">
        <x:v>Ventas</x:v>
      </x:c>
      <x:c r="E12" s="5" t="str">
        <x:v>Media</x:v>
      </x:c>
      <x:c r="F12" s="5" t="str">
        <x:v>Pendiente</x:v>
      </x:c>
      <x:c r="G12" s="5" t="str">
        <x:v>Nutrir lead low-cost con comparativa de valor premium.</x:v>
      </x:c>
      <x:c r="H12" s="5" t="str">
        <x:v>2026-05-25</x:v>
      </x:c>
    </x:row>
  </x:sheetData>
  <x:pageMargins left="0.7" right="0.7" top="0.75" bottom="0.75" header="0.3" footer="0.3"/>
  <x:tableParts count="1">
    <x:tablePart xmlns:r="http://schemas.openxmlformats.org/officeDocument/2006/relationships" r:id="R9d9f4b0b260a4ed6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3.329999923706055" hidden="0" customWidth="1"/>
    <x:col min="3" max="3" width="11.329999923706055" hidden="0" customWidth="1"/>
    <x:col min="4" max="4" width="18" hidden="0" customWidth="1"/>
    <x:col min="5" max="5" width="6.329999923706055" hidden="0" customWidth="1"/>
    <x:col min="6" max="6" width="14.5600004196167" hidden="0" customWidth="1"/>
    <x:col min="7" max="7" width="10" hidden="0" customWidth="1"/>
    <x:col min="8" max="8" width="11.329999923706055" hidden="0" customWidth="1"/>
    <x:col min="9" max="9" width="15.670000076293945" hidden="0" customWidth="1"/>
    <x:col min="10" max="10" width="27.329999923706055" hidden="0" customWidth="1"/>
  </x:cols>
  <x:sheetData>
    <x:row r="1">
      <x:c r="A1" s="3" t="str">
        <x:v>fecha</x:v>
      </x:c>
      <x:c r="B1" s="3" t="str">
        <x:v>tipo</x:v>
      </x:c>
      <x:c r="C1" s="3" t="str">
        <x:v>categoria</x:v>
      </x:c>
      <x:c r="D1" s="3" t="str">
        <x:v>club</x:v>
      </x:c>
      <x:c r="E1" s="3" t="str">
        <x:v>entidad</x:v>
      </x:c>
      <x:c r="F1" s="3" t="str">
        <x:v>importe_estimado</x:v>
      </x:c>
      <x:c r="G1" s="3" t="str">
        <x:v>estado</x:v>
      </x:c>
      <x:c r="H1" s="3" t="str">
        <x:v>origen</x:v>
      </x:c>
      <x:c r="I1" s="3" t="str">
        <x:v>trigger_relacionado</x:v>
      </x:c>
      <x:c r="J1" s="3" t="str">
        <x:v>comentario</x:v>
      </x:c>
    </x:row>
    <x:row r="2">
      <x:c r="A2" s="5" t="str">
        <x:v>2026-05-25</x:v>
      </x:c>
      <x:c r="B2" s="5" t="str">
        <x:v>ingreso protegido</x:v>
      </x:c>
      <x:c r="C2" s="5" t="str">
        <x:v>retencion</x:v>
      </x:c>
      <x:c r="D2" s="5" t="str">
        <x:v>O2CW Manuel Becerra</x:v>
      </x:c>
      <x:c r="E2" s="5" t="str">
        <x:v>S-1748</x:v>
      </x:c>
      <x:c r="F2" s="5" t="n">
        <x:v>3240</x:v>
      </x:c>
      <x:c r="G2" s="5" t="str">
        <x:v>en riesgo</x:v>
      </x:c>
      <x:c r="H2" s="5" t="str">
        <x:v>lifetime</x:v>
      </x:c>
      <x:c r="I2" s="5" t="str">
        <x:v>churn</x:v>
      </x:c>
      <x:c r="J2" s="5" t="str">
        <x:v>LTV protegido si se recupera habito</x:v>
      </x:c>
    </x:row>
    <x:row r="3">
      <x:c r="A3" s="5" t="str">
        <x:v>2026-05-26</x:v>
      </x:c>
      <x:c r="B3" s="5" t="str">
        <x:v>coste evitado</x:v>
      </x:c>
      <x:c r="C3" s="5" t="str">
        <x:v>mantenimiento</x:v>
      </x:c>
      <x:c r="D3" s="5" t="str">
        <x:v>O2CW Malaga</x:v>
      </x:c>
      <x:c r="E3" s="5" t="str">
        <x:v>M-447</x:v>
      </x:c>
      <x:c r="F3" s="5" t="n">
        <x:v>1800</x:v>
      </x:c>
      <x:c r="G3" s="5" t="str">
        <x:v>preventivo</x:v>
      </x:c>
      <x:c r="H3" s="5" t="str">
        <x:v>mantenimiento</x:v>
      </x:c>
      <x:c r="I3" s="5" t="str">
        <x:v>maintenance</x:v>
      </x:c>
      <x:c r="J3" s="5" t="str">
        <x:v>Evitar cierre no planificado de sauna</x:v>
      </x:c>
    </x:row>
    <x:row r="4">
      <x:c r="A4" s="5" t="str">
        <x:v>2026-05-25</x:v>
      </x:c>
      <x:c r="B4" s="5" t="str">
        <x:v>reputacion</x:v>
      </x:c>
      <x:c r="C4" s="5" t="str">
        <x:v>voz_cliente</x:v>
      </x:c>
      <x:c r="D4" s="5" t="str">
        <x:v>O2CW Malaga</x:v>
      </x:c>
      <x:c r="E4" s="5" t="str">
        <x:v>V-104</x:v>
      </x:c>
      <x:c r="F4" s="5" t="n">
        <x:v>900</x:v>
      </x:c>
      <x:c r="G4" s="5" t="str">
        <x:v>abierto</x:v>
      </x:c>
      <x:c r="H4" s="5" t="str">
        <x:v>voz_cliente</x:v>
      </x:c>
      <x:c r="I4" s="5" t="str">
        <x:v>voice</x:v>
      </x:c>
      <x:c r="J4" s="5" t="str">
        <x:v>Gestion de resena critica</x:v>
      </x:c>
    </x:row>
    <x:row r="5">
      <x:c r="A5" s="5" t="str">
        <x:v>2026-05-28</x:v>
      </x:c>
      <x:c r="B5" s="5" t="str">
        <x:v>pipeline</x:v>
      </x:c>
      <x:c r="C5" s="5" t="str">
        <x:v>comercial</x:v>
      </x:c>
      <x:c r="D5" s="5" t="str">
        <x:v>O2CW Sexta Avenida</x:v>
      </x:c>
      <x:c r="E5" s="5" t="str">
        <x:v>C-2401</x:v>
      </x:c>
      <x:c r="F5" s="5" t="n">
        <x:v>1280</x:v>
      </x:c>
      <x:c r="G5" s="5" t="str">
        <x:v>probable</x:v>
      </x:c>
      <x:c r="H5" s="5" t="str">
        <x:v>ventas</x:v>
      </x:c>
      <x:c r="I5" s="5" t="str">
        <x:v>sales</x:v>
      </x:c>
      <x:c r="J5" s="5" t="str">
        <x:v>Alta esperada Well Living</x:v>
      </x:c>
    </x:row>
    <x:row r="6">
      <x:c r="A6" s="5" t="str">
        <x:v>2026-05-25</x:v>
      </x:c>
      <x:c r="B6" s="5" t="str">
        <x:v>ingreso protegido</x:v>
      </x:c>
      <x:c r="C6" s="5" t="str">
        <x:v>retencion</x:v>
      </x:c>
      <x:c r="D6" s="5" t="str">
        <x:v>O2CW Malaga</x:v>
      </x:c>
      <x:c r="E6" s="5" t="str">
        <x:v>S-2602</x:v>
      </x:c>
      <x:c r="F6" s="5" t="n">
        <x:v>3560</x:v>
      </x:c>
      <x:c r="G6" s="5" t="str">
        <x:v>en riesgo</x:v>
      </x:c>
      <x:c r="H6" s="5" t="str">
        <x:v>lifetime</x:v>
      </x:c>
      <x:c r="I6" s="5" t="str">
        <x:v>churn</x:v>
      </x:c>
      <x:c r="J6" s="5" t="str">
        <x:v>Recovery Plus con caida de accesos</x:v>
      </x:c>
    </x:row>
    <x:row r="7">
      <x:c r="A7" s="5" t="str">
        <x:v>2026-05-25</x:v>
      </x:c>
      <x:c r="B7" s="5" t="str">
        <x:v>ingreso protegido</x:v>
      </x:c>
      <x:c r="C7" s="5" t="str">
        <x:v>retencion</x:v>
      </x:c>
      <x:c r="D7" s="5" t="str">
        <x:v>O2CW Sexta Avenida</x:v>
      </x:c>
      <x:c r="E7" s="5" t="str">
        <x:v>S-3521</x:v>
      </x:c>
      <x:c r="F7" s="5" t="n">
        <x:v>3980</x:v>
      </x:c>
      <x:c r="G7" s="5" t="str">
        <x:v>accion hoy</x:v>
      </x:c>
      <x:c r="H7" s="5" t="str">
        <x:v>lifetime</x:v>
      </x:c>
      <x:c r="I7" s="5" t="str">
        <x:v>churn</x:v>
      </x:c>
      <x:c r="J7" s="5" t="str">
        <x:v>Plan familiar cerca de renovacion</x:v>
      </x:c>
    </x:row>
    <x:row r="8">
      <x:c r="A8" s="5" t="str">
        <x:v>2026-05-26</x:v>
      </x:c>
      <x:c r="B8" s="5" t="str">
        <x:v>coste evitado</x:v>
      </x:c>
      <x:c r="C8" s="5" t="str">
        <x:v>mantenimiento</x:v>
      </x:c>
      <x:c r="D8" s="5" t="str">
        <x:v>O2CW Huelva</x:v>
      </x:c>
      <x:c r="E8" s="5" t="str">
        <x:v>M-504</x:v>
      </x:c>
      <x:c r="F8" s="5" t="n">
        <x:v>2200</x:v>
      </x:c>
      <x:c r="G8" s="5" t="str">
        <x:v>preventivo</x:v>
      </x:c>
      <x:c r="H8" s="5" t="str">
        <x:v>mantenimiento</x:v>
      </x:c>
      <x:c r="I8" s="5" t="str">
        <x:v>maintenance</x:v>
      </x:c>
      <x:c r="J8" s="5" t="str">
        <x:v>Evitar cierre piscina infantil</x:v>
      </x:c>
    </x:row>
    <x:row r="9">
      <x:c r="A9" s="5" t="str">
        <x:v>2026-05-25</x:v>
      </x:c>
      <x:c r="B9" s="5" t="str">
        <x:v>pipeline</x:v>
      </x:c>
      <x:c r="C9" s="5" t="str">
        <x:v>comercial</x:v>
      </x:c>
      <x:c r="D9" s="5" t="str">
        <x:v>O2CW Malaga</x:v>
      </x:c>
      <x:c r="E9" s="5" t="str">
        <x:v>C-2422</x:v>
      </x:c>
      <x:c r="F9" s="5" t="n">
        <x:v>1560</x:v>
      </x:c>
      <x:c r="G9" s="5" t="str">
        <x:v>alta probable</x:v>
      </x:c>
      <x:c r="H9" s="5" t="str">
        <x:v>ventas</x:v>
      </x:c>
      <x:c r="I9" s="5" t="str">
        <x:v>sales</x:v>
      </x:c>
      <x:c r="J9" s="5" t="str">
        <x:v>Recovery Plus con intencion 93</x:v>
      </x:c>
    </x:row>
    <x:row r="10">
      <x:c r="A10" s="5" t="str">
        <x:v>2026-05-25</x:v>
      </x:c>
      <x:c r="B10" s="5" t="str">
        <x:v>experiencia</x:v>
      </x:c>
      <x:c r="C10" s="5" t="str">
        <x:v>aforo</x:v>
      </x:c>
      <x:c r="D10" s="5" t="str">
        <x:v>O2CW Boutique Madrid</x:v>
      </x:c>
      <x:c r="E10" s="5" t="str">
        <x:v>AF-006</x:v>
      </x:c>
      <x:c r="F10" s="5" t="n">
        <x:v>1200</x:v>
      </x:c>
      <x:c r="G10" s="5" t="str">
        <x:v>saturado</x:v>
      </x:c>
      <x:c r="H10" s="5" t="str">
        <x:v>operaciones</x:v>
      </x:c>
      <x:c r="I10" s="5" t="str">
        <x:v>capacity</x:v>
      </x:c>
      <x:c r="J10" s="5" t="str">
        <x:v>Pilates Reformer al 96%</x:v>
      </x:c>
    </x:row>
  </x:sheetData>
  <x:pageMargins left="0.7" right="0.7" top="0.75" bottom="0.75" header="0.3" footer="0.3"/>
  <x:tableParts count="1">
    <x:tablePart xmlns:r="http://schemas.openxmlformats.org/officeDocument/2006/relationships" r:id="R6786361322114304"/>
  </x:tableParts>
</x:worksheet>
</file>